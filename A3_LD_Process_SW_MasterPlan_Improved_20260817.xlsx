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b3b3c9d4b043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MasterPlan" sheetId="1" r:id="Rb8a0ad859fca4174"/>
    <x:sheet xmlns:r="http://schemas.openxmlformats.org/officeDocument/2006/relationships" name="01_고객요구사항_51" sheetId="2" r:id="Raf70899471ba4131"/>
    <x:sheet xmlns:r="http://schemas.openxmlformats.org/officeDocument/2006/relationships" name="02_내부개발현황_120" sheetId="3" r:id="Rf50e31ad580d46a3"/>
    <x:sheet xmlns:r="http://schemas.openxmlformats.org/officeDocument/2006/relationships" name="03_요구_WBS_매핑" sheetId="4" r:id="R7771481c299342f3"/>
    <x:sheet xmlns:r="http://schemas.openxmlformats.org/officeDocument/2006/relationships" name="04_Git코드검증" sheetId="5" r:id="R8144c209a08b4755"/>
    <x:sheet xmlns:r="http://schemas.openxmlformats.org/officeDocument/2006/relationships" name="05_마일스톤_리스크" sheetId="6" r:id="R367262f2484d4182"/>
    <x:sheet xmlns:r="http://schemas.openxmlformats.org/officeDocument/2006/relationships" name="06_검증체크리스트" sheetId="7" r:id="R6b39f04b5a5142dc"/>
    <x:sheet xmlns:r="http://schemas.openxmlformats.org/officeDocument/2006/relationships" name="07_변경이력_가정" sheetId="8" r:id="R1d66cbcf920b482c"/>
  </x:sheets>
  <x:definedNames>
    <x:definedName name="_xlnm.Print_Area" localSheetId="0">'00_MasterPlan'!$A$1:$AF$152</x:definedName>
    <x:definedName name="_xlnm.Print_Titles" localSheetId="0">'00_MasterPlan'!$1:$4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9">
    <x:font>
      <x:sz val="11"/>
      <x:name val="Carlito"/>
    </x:font>
    <x:font>
      <x:sz val="8"/>
      <x:color rgb="FFFFFFFF"/>
      <x:name val="Malgun Gothic"/>
    </x:font>
    <x:font>
      <x:b/>
      <x:sz val="18"/>
      <x:color rgb="FF000000"/>
      <x:name val="Malgun Gothic"/>
    </x:font>
    <x:font>
      <x:b/>
      <x:sz val="9"/>
      <x:color rgb="FFFFFFFF"/>
      <x:name val="Malgun Gothic"/>
    </x:font>
    <x:font>
      <x:b/>
      <x:sz val="8"/>
      <x:color rgb="FFFFFFFF"/>
      <x:name val="Malgun Gothic"/>
    </x:font>
    <x:font>
      <x:b/>
      <x:sz val="8"/>
      <x:color rgb="FF000000"/>
      <x:name val="Malgun Gothic"/>
    </x:font>
    <x:font>
      <x:b/>
      <x:sz val="16"/>
      <x:color rgb="FFFFFFFF"/>
      <x:name val="Malgun Gothic"/>
    </x:font>
    <x:font>
      <x:sz val="9"/>
      <x:color rgb="FF1F2937"/>
      <x:name val="Malgun Gothic"/>
    </x:font>
    <x:font>
      <x:b/>
      <x:sz val="10"/>
      <x:color rgb="FF1F2937"/>
      <x:name val="Malgun Gothic"/>
    </x:font>
  </x:fonts>
  <x:fills count="12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FFFFFF"/>
      </x:patternFill>
    </x:fill>
    <x:fill>
      <x:patternFill patternType="solid">
        <x:fgColor rgb="FF8EA9DB"/>
      </x:patternFill>
    </x:fill>
    <x:fill>
      <x:patternFill patternType="solid">
        <x:fgColor rgb="FFED7D31"/>
      </x:patternFill>
    </x:fill>
    <x:fill>
      <x:patternFill patternType="solid">
        <x:fgColor rgb="FF548235"/>
      </x:patternFill>
    </x:fill>
    <x:fill>
      <x:patternFill patternType="solid">
        <x:fgColor rgb="FFFFFF00"/>
      </x:patternFill>
    </x:fill>
    <x:fill>
      <x:patternFill patternType="solid">
        <x:fgColor rgb="FF1F1F1F"/>
      </x:patternFill>
    </x:fill>
    <x:fill>
      <x:patternFill patternType="solid">
        <x:fgColor rgb="FF4472C4"/>
      </x:patternFill>
    </x:fill>
    <x:fill>
      <x:patternFill patternType="solid">
        <x:fgColor rgb="FFD9E2F3"/>
      </x:patternFill>
    </x:fill>
    <x:fill>
      <x:patternFill patternType="solid">
        <x:fgColor rgb="FF1F2937"/>
      </x:patternFill>
    </x:fill>
  </x:fills>
  <x:borders count="20">
    <x:border/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medium">
        <x:color rgb="FF8EA9DB"/>
      </x:bottom>
    </x:border>
    <x:border>
      <x:left style="thin">
        <x:color rgb="FFED7D31"/>
      </x:left>
      <x:right style="thin">
        <x:color rgb="FFED7D31"/>
      </x:right>
      <x:top style="thin">
        <x:color rgb="FFED7D31"/>
      </x:top>
      <x:bottom style="thin">
        <x:color rgb="FFED7D31"/>
      </x:bottom>
    </x:border>
    <x:border>
      <x:left style="dotted">
        <x:color rgb="FF7F7F7F"/>
      </x:left>
      <x:right style="dotted">
        <x:color rgb="FF7F7F7F"/>
      </x:right>
      <x:top style="dotted">
        <x:color rgb="FF7F7F7F"/>
      </x:top>
      <x:bottom style="dotted">
        <x:color rgb="FF7F7F7F"/>
      </x:bottom>
    </x:border>
    <x:border>
      <x:left style="dotted">
        <x:color rgb="FF7F7F7F"/>
      </x:left>
      <x:right style="dotted">
        <x:color rgb="FF7F7F7F"/>
      </x:right>
      <x:top style="medium">
        <x:color rgb="FF8EA9DB"/>
      </x:top>
      <x:bottom style="dotted">
        <x:color rgb="FF7F7F7F"/>
      </x:bottom>
    </x:border>
    <x:border>
      <x:left style="dotted">
        <x:color rgb="FF7F7F7F"/>
      </x:left>
      <x:right style="dotted">
        <x:color rgb="FF7F7F7F"/>
      </x:right>
      <x:top style="dotted">
        <x:color rgb="FF7F7F7F"/>
      </x:top>
      <x:bottom style="medium">
        <x:color rgb="FF8EA9DB"/>
      </x:bottom>
    </x:border>
    <x:border>
      <x:left style="dashed">
        <x:color rgb="FFED7D31"/>
      </x:left>
      <x:right style="dashed">
        <x:color rgb="FFED7D31"/>
      </x:right>
      <x:top style="thin">
        <x:color rgb="FFED7D31"/>
      </x:top>
      <x:bottom style="thin">
        <x:color rgb="FFED7D31"/>
      </x:bottom>
    </x:border>
    <x:border>
      <x:left style="dashed">
        <x:color rgb="FFED7D31"/>
      </x:left>
      <x:right style="dashed">
        <x:color rgb="FFED7D31"/>
      </x:right>
      <x:top style="medium">
        <x:color rgb="FF8EA9DB"/>
      </x:top>
      <x:bottom style="dotted">
        <x:color rgb="FF7F7F7F"/>
      </x:bottom>
    </x:border>
    <x:border>
      <x:left style="dashed">
        <x:color rgb="FFED7D31"/>
      </x:left>
      <x:right style="dashed">
        <x:color rgb="FFED7D31"/>
      </x:right>
      <x:top style="dotted">
        <x:color rgb="FF7F7F7F"/>
      </x:top>
      <x:bottom style="dotted">
        <x:color rgb="FF7F7F7F"/>
      </x:bottom>
    </x:border>
    <x:border>
      <x:left style="dashed">
        <x:color rgb="FFED7D31"/>
      </x:left>
      <x:right style="dashed">
        <x:color rgb="FFED7D31"/>
      </x:right>
      <x:top style="dotted">
        <x:color rgb="FF7F7F7F"/>
      </x:top>
      <x:bottom style="medium">
        <x:color rgb="FF8EA9DB"/>
      </x:bottom>
    </x:border>
    <x:border>
      <x:left style="dashed">
        <x:color rgb="FFED7D31"/>
      </x:left>
      <x:right style="dashed">
        <x:color rgb="FFED7D31"/>
      </x:right>
      <x:top style="dotted">
        <x:color rgb="FF7F7F7F"/>
      </x:top>
      <x:bottom style="thin">
        <x:color rgb="FFED7D31"/>
      </x:bottom>
    </x:border>
    <x:border>
      <x:left style="medium">
        <x:color rgb="FF4472C4"/>
      </x:left>
      <x:top style="medium">
        <x:color rgb="FF4472C4"/>
      </x:top>
      <x:bottom style="medium">
        <x:color rgb="FF4472C4"/>
      </x:bottom>
    </x:border>
    <x:border>
      <x:top style="medium">
        <x:color rgb="FF4472C4"/>
      </x:top>
      <x:bottom style="medium">
        <x:color rgb="FF4472C4"/>
      </x:bottom>
    </x:border>
    <x:border>
      <x:right style="medium">
        <x:color rgb="FF4472C4"/>
      </x:right>
      <x:top style="medium">
        <x:color rgb="FF4472C4"/>
      </x:top>
      <x:bottom style="medium">
        <x:color rgb="FF4472C4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2" fillId="3" borderId="2" xfId="0" applyNumberFormat="1" applyFont="1" applyFill="1" applyBorder="1" applyAlignment="1">
      <x:alignment horizontal="left" vertical="center" wrapText="1"/>
    </x:xf>
    <x:xf numFmtId="0" fontId="2" fillId="3" borderId="3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5" xfId="0" applyNumberFormat="1" applyFont="1" applyFill="1" applyBorder="1" applyAlignment="1">
      <x:alignment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5" borderId="5" xfId="0" applyNumberFormat="1" applyFont="1" applyFill="1" applyBorder="1" applyAlignment="1">
      <x:alignment horizontal="center" vertical="center" wrapText="1"/>
    </x:xf>
    <x:xf numFmtId="0" fontId="3" fillId="5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vertical="center" wrapText="1"/>
    </x:xf>
    <x:xf numFmtId="0" fontId="1" fillId="2" borderId="7" xfId="0" applyNumberFormat="1" applyFont="1" applyFill="1" applyBorder="1" applyAlignment="1">
      <x:alignment horizontal="left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6" borderId="7" xfId="0" applyNumberFormat="1" applyFont="1" applyFill="1" applyBorder="1" applyAlignment="1">
      <x:alignment vertical="center" wrapText="1"/>
    </x:xf>
    <x:xf numFmtId="0" fontId="4" fillId="6" borderId="7" xfId="0" applyNumberFormat="1" applyFont="1" applyFill="1" applyBorder="1" applyAlignment="1">
      <x:alignment vertical="center" wrapText="1"/>
    </x:xf>
    <x:xf numFmtId="0" fontId="4" fillId="6" borderId="7" xfId="0" applyNumberFormat="1" applyFont="1" applyFill="1" applyBorder="1" applyAlignment="1">
      <x:alignment horizontal="center" vertical="center" wrapText="1"/>
    </x:xf>
    <x:xf numFmtId="0" fontId="1" fillId="7" borderId="7" xfId="0" applyNumberFormat="1" applyFont="1" applyFill="1" applyBorder="1" applyAlignment="1">
      <x:alignment vertical="center" wrapText="1"/>
    </x:xf>
    <x:xf numFmtId="0" fontId="5" fillId="7" borderId="7" xfId="0" applyNumberFormat="1" applyFont="1" applyFill="1" applyBorder="1" applyAlignment="1">
      <x:alignment vertical="center" wrapText="1"/>
    </x:xf>
    <x:xf numFmtId="0" fontId="5" fillId="7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vertical="center" wrapText="1"/>
    </x:xf>
    <x:xf numFmtId="0" fontId="1" fillId="2" borderId="8" xfId="0" applyNumberFormat="1" applyFont="1" applyFill="1" applyBorder="1" applyAlignment="1">
      <x:alignment horizontal="left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4" fillId="6" borderId="8" xfId="0" applyNumberFormat="1" applyFont="1" applyFill="1" applyBorder="1" applyAlignment="1">
      <x:alignment horizontal="center" vertical="center" wrapText="1"/>
    </x:xf>
    <x:xf numFmtId="0" fontId="1" fillId="2" borderId="9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 applyAlignment="1">
      <x:alignment horizontal="left" vertic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5" fillId="7" borderId="9" xfId="0" applyNumberFormat="1" applyFont="1" applyFill="1" applyBorder="1" applyAlignment="1">
      <x:alignment horizontal="center" vertical="center" wrapText="1"/>
    </x:xf>
    <x:xf numFmtId="0" fontId="1" fillId="8" borderId="8" xfId="0" applyNumberFormat="1" applyFont="1" applyFill="1" applyBorder="1" applyAlignment="1">
      <x:alignment vertical="center" wrapText="1"/>
    </x:xf>
    <x:xf numFmtId="0" fontId="3" fillId="8" borderId="8" xfId="0" applyNumberFormat="1" applyFont="1" applyFill="1" applyBorder="1" applyAlignment="1">
      <x:alignment vertical="center" wrapText="1"/>
    </x:xf>
    <x:xf numFmtId="0" fontId="3" fillId="8" borderId="8" xfId="0" applyNumberFormat="1" applyFont="1" applyFill="1" applyBorder="1" applyAlignment="1">
      <x:alignment horizontal="center" vertical="center" wrapText="1"/>
    </x:xf>
    <x:xf numFmtId="0" fontId="3" fillId="5" borderId="10" xfId="0" applyNumberFormat="1" applyFont="1" applyFill="1" applyBorder="1" applyAlignment="1">
      <x:alignment horizontal="center" vertical="center" wrapText="1"/>
    </x:xf>
    <x:xf numFmtId="0" fontId="4" fillId="6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vertical="center" wrapText="1"/>
    </x:xf>
    <x:xf numFmtId="0" fontId="5" fillId="7" borderId="12" xfId="0" applyNumberFormat="1" applyFont="1" applyFill="1" applyBorder="1" applyAlignment="1">
      <x:alignment horizontal="center" vertical="center" wrapText="1"/>
    </x:xf>
    <x:xf numFmtId="0" fontId="5" fillId="7" borderId="13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vertical="center" wrapText="1"/>
    </x:xf>
    <x:xf numFmtId="0" fontId="1" fillId="2" borderId="14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15" xfId="0" applyNumberFormat="1" applyFont="1" applyFill="1" applyBorder="1"/>
    <x:xf numFmtId="0" fontId="6" fillId="9" borderId="16" xfId="0" applyNumberFormat="1" applyFont="1" applyFill="1" applyBorder="1"/>
    <x:xf numFmtId="0" fontId="6" fillId="9" borderId="17" xfId="0" applyNumberFormat="1" applyFont="1" applyFill="1" applyBorder="1"/>
    <x:xf numFmtId="0" fontId="6" fillId="9" borderId="15" xfId="0" applyNumberFormat="1" applyFont="1" applyFill="1" applyBorder="1" applyAlignment="1">
      <x:alignment wrapText="1"/>
    </x:xf>
    <x:xf numFmtId="0" fontId="6" fillId="9" borderId="16" xfId="0" applyNumberFormat="1" applyFont="1" applyFill="1" applyBorder="1" applyAlignment="1">
      <x:alignment wrapText="1"/>
    </x:xf>
    <x:xf numFmtId="0" fontId="6" fillId="9" borderId="17" xfId="0" applyNumberFormat="1" applyFont="1" applyFill="1" applyBorder="1" applyAlignment="1">
      <x:alignment wrapText="1"/>
    </x:xf>
    <x:xf numFmtId="0" fontId="6" fillId="9" borderId="15" xfId="0" applyNumberFormat="1" applyFont="1" applyFill="1" applyBorder="1" applyAlignment="1">
      <x:alignment horizontal="left" wrapText="1"/>
    </x:xf>
    <x:xf numFmtId="0" fontId="6" fillId="9" borderId="16" xfId="0" applyNumberFormat="1" applyFont="1" applyFill="1" applyBorder="1" applyAlignment="1">
      <x:alignment horizontal="left" wrapText="1"/>
    </x:xf>
    <x:xf numFmtId="0" fontId="6" fillId="9" borderId="17" xfId="0" applyNumberFormat="1" applyFont="1" applyFill="1" applyBorder="1" applyAlignment="1">
      <x:alignment horizontal="left" wrapText="1"/>
    </x:xf>
    <x:xf numFmtId="0" fontId="6" fillId="9" borderId="15" xfId="0" applyNumberFormat="1" applyFont="1" applyFill="1" applyBorder="1" applyAlignment="1">
      <x:alignment horizontal="left" vertical="center" wrapText="1"/>
    </x:xf>
    <x:xf numFmtId="0" fontId="6" fillId="9" borderId="16" xfId="0" applyNumberFormat="1" applyFont="1" applyFill="1" applyBorder="1" applyAlignment="1">
      <x:alignment horizontal="left" vertical="center" wrapText="1"/>
    </x:xf>
    <x:xf numFmtId="0" fontId="6" fillId="9" borderId="17" xfId="0" applyNumberFormat="1" applyFont="1" applyFill="1" applyBorder="1" applyAlignment="1">
      <x:alignment horizontal="left" vertical="center"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4" xfId="0" applyNumberFormat="1" applyFont="1" applyFill="1" applyBorder="1"/>
    <x:xf numFmtId="0" fontId="3" fillId="11" borderId="4" xfId="0" applyNumberFormat="1" applyFont="1" applyFill="1" applyBorder="1" applyAlignment="1">
      <x:alignment horizontal="center"/>
    </x:xf>
    <x:xf numFmtId="0" fontId="8" fillId="10" borderId="0" xfId="0" applyNumberFormat="1" applyFont="1" applyFill="1" applyBorder="1"/>
    <x:xf numFmtId="0" fontId="8" fillId="10" borderId="18" xfId="0" applyNumberFormat="1" applyFont="1" applyFill="1" applyBorder="1"/>
    <x:xf numFmtId="0" fontId="8" fillId="10" borderId="18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/>
    <x:xf numFmtId="0" fontId="7" fillId="0" borderId="19" xfId="0" applyNumberFormat="1" applyFont="1" applyFill="1" applyBorder="1"/>
    <x:xf numFmtId="0" fontId="7" fillId="0" borderId="19" xfId="0" applyNumberFormat="1" applyFont="1" applyFill="1" applyBorder="1" applyAlignment="1">
      <x:alignment wrapText="1"/>
    </x:xf>
    <x:xf numFmtId="0" fontId="7" fillId="0" borderId="19" xfId="0" applyNumberFormat="1" applyFont="1" applyFill="1" applyBorder="1" applyAlignment="1">
      <x:alignment vertical="top" wrapText="1"/>
    </x:xf>
    <x:xf numFmtId="200" fontId="7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  <x:dxfs count="23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bbd5b98ff14295" /><Relationship Type="http://schemas.openxmlformats.org/officeDocument/2006/relationships/theme" Target="/xl/theme/theme1.xml" Id="Rb97b8d0a53514e30" /><Relationship Type="http://schemas.openxmlformats.org/officeDocument/2006/relationships/sharedStrings" Target="/xl/sharedStrings.xml" Id="R3f849b972bae4dd0" /><Relationship Type="http://schemas.openxmlformats.org/officeDocument/2006/relationships/worksheet" Target="/xl/worksheets/sheet1.xml" Id="Rb8a0ad859fca4174" /><Relationship Type="http://schemas.openxmlformats.org/officeDocument/2006/relationships/worksheet" Target="/xl/worksheets/sheet2.xml" Id="Raf70899471ba4131" /><Relationship Type="http://schemas.openxmlformats.org/officeDocument/2006/relationships/worksheet" Target="/xl/worksheets/sheet3.xml" Id="Rf50e31ad580d46a3" /><Relationship Type="http://schemas.openxmlformats.org/officeDocument/2006/relationships/worksheet" Target="/xl/worksheets/sheet4.xml" Id="R7771481c299342f3" /><Relationship Type="http://schemas.openxmlformats.org/officeDocument/2006/relationships/worksheet" Target="/xl/worksheets/sheet5.xml" Id="R8144c209a08b4755" /><Relationship Type="http://schemas.openxmlformats.org/officeDocument/2006/relationships/worksheet" Target="/xl/worksheets/sheet6.xml" Id="R367262f2484d4182" /><Relationship Type="http://schemas.openxmlformats.org/officeDocument/2006/relationships/worksheet" Target="/xl/worksheets/sheet7.xml" Id="R6b39f04b5a5142dc" /><Relationship Type="http://schemas.openxmlformats.org/officeDocument/2006/relationships/worksheet" Target="/xl/worksheets/sheet8.xml" Id="R1d66cbcf920b482c" /></Relationships>
</file>

<file path=xl/tables/table1.xml><?xml version="1.0" encoding="utf-8"?>
<x:table xmlns:x="http://schemas.openxmlformats.org/spreadsheetml/2006/main" id="1" name="CustomerRequirements51" displayName="CustomerRequirements51" ref="A5:U56" headerRowCount="1" totalsRowCount="0" totalsRowShown="0">
  <x:autoFilter ref="A5:U56"/>
  <x:tableColumns count="21">
    <x:tableColumn id="1" name="No"/>
    <x:tableColumn id="2" name="요구영역"/>
    <x:tableColumn id="3" name="기능ID"/>
    <x:tableColumn id="4" name="기능명"/>
    <x:tableColumn id="5" name="원문 상세설명"/>
    <x:tableColumn id="6" name="원문 문의"/>
    <x:tableColumn id="7" name="추가 검토결과 1"/>
    <x:tableColumn id="8" name="추가 검토결과 2"/>
    <x:tableColumn id="9" name="실행가능 재정의"/>
    <x:tableColumn id="10" name="필요 SW 구성요소"/>
    <x:tableColumn id="11" name="수용기준"/>
    <x:tableColumn id="12" name="관련 내부개발 번호"/>
    <x:tableColumn id="13" name="관련 코드근거 ID"/>
    <x:tableColumn id="14" name="코드검증률"/>
    <x:tableColumn id="15" name="현재 반영상태"/>
    <x:tableColumn id="16" name="Gap"/>
    <x:tableColumn id="17" name="추가 WBS"/>
    <x:tableColumn id="18" name="목표 완료시점"/>
    <x:tableColumn id="19" name="검증방법"/>
    <x:tableColumn id="20" name="기능ID 중복"/>
    <x:tableColumn id="21" name="WBS 연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ternalDevelopment120" displayName="InternalDevelopment120" ref="A5:S125" headerRowCount="1" totalsRowCount="0" totalsRowShown="0">
  <x:autoFilter ref="A5:S125"/>
  <x:tableColumns count="19">
    <x:tableColumn id="1" name="원본 번호"/>
    <x:tableColumn id="2" name="분류"/>
    <x:tableColumn id="3" name="기능명"/>
    <x:tableColumn id="4" name="상세기능"/>
    <x:tableColumn id="5" name="보고 진행률"/>
    <x:tableColumn id="6" name="보고 상태"/>
    <x:tableColumn id="7" name="우선순위"/>
    <x:tableColumn id="8" name="원본 개발현황"/>
    <x:tableColumn id="9" name="관련 고객 요구ID"/>
    <x:tableColumn id="10" name="Git 코드 확인상태"/>
    <x:tableColumn id="11" name="코드 검증 진행률"/>
    <x:tableColumn id="12" name="차이"/>
    <x:tableColumn id="13" name="차이 및 판단 근거"/>
    <x:tableColumn id="14" name="잔여작업/추가 확인"/>
    <x:tableColumn id="15" name="검증방법"/>
    <x:tableColumn id="16" name="Master Plan WBS ID"/>
    <x:tableColumn id="17" name="코드근거 ID"/>
    <x:tableColumn id="18" name="번호 중복"/>
    <x:tableColumn id="19" name="번호 범위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quirementWbsMapping" displayName="RequirementWbsMapping" ref="A5:N425" headerRowCount="1" totalsRowCount="0" totalsRowShown="0">
  <x:autoFilter ref="A5:N425"/>
  <x:tableColumns count="14">
    <x:tableColumn id="1" name="고객 요구ID"/>
    <x:tableColumn id="2" name="고객 기능명"/>
    <x:tableColumn id="3" name="내부 번호"/>
    <x:tableColumn id="4" name="내부 분류"/>
    <x:tableColumn id="5" name="내부 기능명"/>
    <x:tableColumn id="6" name="WBS ID"/>
    <x:tableColumn id="7" name="WBS Item"/>
    <x:tableColumn id="8" name="코드근거 ID"/>
    <x:tableColumn id="9" name="파일 경로"/>
    <x:tableColumn id="10" name="클래스"/>
    <x:tableColumn id="11" name="메서드/이벤트"/>
    <x:tableColumn id="12" name="반영상태"/>
    <x:tableColumn id="13" name="코드검증률"/>
    <x:tableColumn id="14" name="Gap/판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itCodeEvidence" displayName="GitCodeEvidence" ref="A5:O48" headerRowCount="1" totalsRowCount="0" totalsRowShown="0">
  <x:autoFilter ref="A5:O48"/>
  <x:tableColumns count="15">
    <x:tableColumn id="1" name="근거 ID"/>
    <x:tableColumn id="2" name="Repository"/>
    <x:tableColumn id="3" name="Branch"/>
    <x:tableColumn id="4" name="Commit SHA"/>
    <x:tableColumn id="5" name="Project"/>
    <x:tableColumn id="6" name="파일 경로"/>
    <x:tableColumn id="7" name="Line"/>
    <x:tableColumn id="8" name="클래스"/>
    <x:tableColumn id="9" name="메서드/이벤트"/>
    <x:tableColumn id="10" name="구현 판정"/>
    <x:tableColumn id="11" name="코드검증률"/>
    <x:tableColumn id="12" name="확인 근거"/>
    <x:tableColumn id="13" name="제한사항"/>
    <x:tableColumn id="14" name="Build/시험"/>
    <x:tableColumn id="15" name="분석기준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ilestones" displayName="Milestones" ref="A5:H10" headerRowCount="1" totalsRowCount="0" totalsRowShown="0">
  <x:autoFilter ref="A5:H10"/>
  <x:tableColumns count="8">
    <x:tableColumn id="1" name="Milestone"/>
    <x:tableColumn id="2" name="주요 Milestone"/>
    <x:tableColumn id="3" name="진입조건"/>
    <x:tableColumn id="4" name="완료조건"/>
    <x:tableColumn id="5" name="목표 주차"/>
    <x:tableColumn id="6" name="현재상태"/>
    <x:tableColumn id="7" name="Critical Path"/>
    <x:tableColumn id="8" name="담당/협의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iskRegister" displayName="RiskRegister" ref="A13:I25" headerRowCount="1" totalsRowCount="0" totalsRowShown="0">
  <x:autoFilter ref="A13:I25"/>
  <x:tableColumns count="9">
    <x:tableColumn id="1" name="Risk ID"/>
    <x:tableColumn id="2" name="리스크"/>
    <x:tableColumn id="3" name="영향"/>
    <x:tableColumn id="4" name="대응방안"/>
    <x:tableColumn id="5" name="담당/협의 주체"/>
    <x:tableColumn id="6" name="현재상태"/>
    <x:tableColumn id="7" name="의사결정 필요사항"/>
    <x:tableColumn id="8" name="목표주차"/>
    <x:tableColumn id="9" name="Critica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WbsRegistry" displayName="WbsRegistry" ref="M5:Y79" headerRowCount="1" totalsRowCount="0" totalsRowShown="0">
  <x:autoFilter ref="M5:Y79"/>
  <x:tableColumns count="13">
    <x:tableColumn id="1" name="WBS ID"/>
    <x:tableColumn id="2" name="Module"/>
    <x:tableColumn id="3" name="Item"/>
    <x:tableColumn id="4" name="WBS 유형"/>
    <x:tableColumn id="5" name="우선순위"/>
    <x:tableColumn id="6" name="계획 시작"/>
    <x:tableColumn id="7" name="계획 종료"/>
    <x:tableColumn id="8" name="의존 WBS"/>
    <x:tableColumn id="9" name="Critical"/>
    <x:tableColumn id="10" name="리스크"/>
    <x:tableColumn id="11" name="고객 요구ID"/>
    <x:tableColumn id="12" name="내부 번호"/>
    <x:tableColumn id="13" name="WBS 중복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ValidationChecklist" displayName="ValidationChecklist" ref="A5:I66" headerRowCount="1" totalsRowCount="0" totalsRowShown="0">
  <x:autoFilter ref="A5:I66"/>
  <x:tableColumns count="9">
    <x:tableColumn id="1" name="검증 ID"/>
    <x:tableColumn id="2" name="검증 수준"/>
    <x:tableColumn id="3" name="대상 요구/WBS"/>
    <x:tableColumn id="4" name="완료 판정기준"/>
    <x:tableColumn id="5" name="검증방법"/>
    <x:tableColumn id="6" name="관련 WBS"/>
    <x:tableColumn id="7" name="현재상태"/>
    <x:tableColumn id="8" name="증빙"/>
    <x:tableColumn id="9" name="제약/후속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hangesAssumptions" displayName="ChangesAssumptions" ref="A5:C16" headerRowCount="1" totalsRowCount="0" totalsRowShown="0">
  <x:autoFilter ref="A5:C16"/>
  <x:tableColumns count="3">
    <x:tableColumn id="1" name="구분"/>
    <x:tableColumn id="2" name="내용"/>
    <x:tableColumn id="3" name="근거/영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1f632a8b674f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3660afc89945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1aededa9984f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ac0c4f388d49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38bbded8b6048c4" /><Relationship Type="http://schemas.openxmlformats.org/officeDocument/2006/relationships/table" Target="/xl/tables/table6.xml" Id="R6f5c49502fc94ac5" /><Relationship Type="http://schemas.openxmlformats.org/officeDocument/2006/relationships/table" Target="/xl/tables/table7.xml" Id="R0e2c9628ad2849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343f153a476c4d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04e83c62714c4a60" /></Relationships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>
      <x:pane xSplit="4" ySplit="4" topLeftCell="E5" activePane="bottomRight" state="frozen"/>
      <x:selection pane="bottomRight" activeCell="E5" sqref="E5"/>
    </x:sheetView>
  </x:sheetViews>
  <x:sheetFormatPr defaultRowHeight="15"/>
  <x:cols>
    <x:col min="1" max="1" width="15" hidden="0" customWidth="1"/>
    <x:col min="2" max="2" width="25" hidden="0" customWidth="1"/>
    <x:col min="3" max="3" width="48" hidden="0" customWidth="1"/>
    <x:col min="4" max="4" width="7" hidden="0" customWidth="1"/>
    <x:col min="5" max="5" width="4.199999809265137" hidden="0" customWidth="1"/>
    <x:col min="6" max="6" width="4.199999809265137" hidden="0" customWidth="1"/>
    <x:col min="7" max="7" width="4.199999809265137" hidden="0" customWidth="1"/>
    <x:col min="8" max="8" width="4.199999809265137" hidden="0" customWidth="1"/>
    <x:col min="9" max="9" width="4.199999809265137" hidden="0" customWidth="1"/>
    <x:col min="10" max="10" width="4.199999809265137" hidden="0" customWidth="1"/>
    <x:col min="11" max="11" width="4.199999809265137" hidden="0" customWidth="1"/>
    <x:col min="12" max="12" width="4.199999809265137" hidden="0" customWidth="1"/>
    <x:col min="13" max="13" width="4.199999809265137" hidden="0" customWidth="1"/>
    <x:col min="14" max="14" width="4.199999809265137" hidden="0" customWidth="1"/>
    <x:col min="15" max="15" width="4.199999809265137" hidden="0" customWidth="1"/>
    <x:col min="16" max="16" width="4.199999809265137" hidden="0" customWidth="1"/>
    <x:col min="17" max="17" width="4.199999809265137" hidden="0" customWidth="1"/>
    <x:col min="18" max="18" width="4.199999809265137" hidden="0" customWidth="1"/>
    <x:col min="19" max="19" width="4.199999809265137" hidden="0" customWidth="1"/>
    <x:col min="20" max="20" width="4.199999809265137" hidden="0" customWidth="1"/>
    <x:col min="21" max="21" width="4.199999809265137" hidden="0" customWidth="1"/>
    <x:col min="22" max="22" width="4.199999809265137" hidden="0" customWidth="1"/>
    <x:col min="23" max="23" width="4.199999809265137" hidden="0" customWidth="1"/>
    <x:col min="24" max="24" width="4.199999809265137" hidden="0" customWidth="1"/>
    <x:col min="25" max="25" width="4.199999809265137" hidden="0" customWidth="1"/>
    <x:col min="26" max="26" width="4.199999809265137" hidden="0" customWidth="1"/>
    <x:col min="27" max="27" width="4.199999809265137" hidden="0" customWidth="1"/>
    <x:col min="28" max="28" width="4.199999809265137" hidden="0" customWidth="1"/>
    <x:col min="29" max="29" width="4.199999809265137" hidden="0" customWidth="1"/>
    <x:col min="30" max="30" width="4.199999809265137" hidden="0" customWidth="1"/>
    <x:col min="31" max="31" width="4.199999809265137" hidden="0" customWidth="1"/>
    <x:col min="32" max="32" width="4.199999809265137" hidden="0" customWidth="1"/>
  </x:cols>
  <x:sheetData>
    <x:row r="1" ht="34" customHeight="1">
      <x:c r="A1" s="10" t="str">
        <x:v>□ [A3 LD-PJT] Process SW 제작 Master Plan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2"/>
    </x:row>
    <x:row r="2" ht="30" customHeight="1">
      <x:c r="A2" s="16" t="str">
        <x:v>Module</x:v>
      </x:c>
      <x:c r="B2" s="16" t="str">
        <x:v>Item</x:v>
      </x:c>
      <x:c r="C2" s="16" t="str">
        <x:v>상세 항목</x:v>
      </x:c>
      <x:c r="D2" s="16" t="str">
        <x:v>비고</x:v>
      </x:c>
      <x:c r="E2" s="16" t="str">
        <x:v>26' 6월</x:v>
      </x:c>
      <x:c r="F2" s="16"/>
      <x:c r="G2" s="16"/>
      <x:c r="H2" s="16"/>
      <x:c r="I2" s="16" t="str">
        <x:v>26' 7월</x:v>
      </x:c>
      <x:c r="J2" s="16"/>
      <x:c r="K2" s="16"/>
      <x:c r="L2" s="16"/>
      <x:c r="M2" s="16" t="str">
        <x:v>26' 8월</x:v>
      </x:c>
      <x:c r="N2" s="16"/>
      <x:c r="O2" s="16"/>
      <x:c r="P2" s="16"/>
      <x:c r="Q2" s="16" t="str">
        <x:v>26' 9월</x:v>
      </x:c>
      <x:c r="R2" s="16"/>
      <x:c r="S2" s="16"/>
      <x:c r="T2" s="16"/>
      <x:c r="U2" s="16" t="str">
        <x:v>26' 10월</x:v>
      </x:c>
      <x:c r="V2" s="16"/>
      <x:c r="W2" s="16"/>
      <x:c r="X2" s="16"/>
      <x:c r="Y2" s="16" t="str">
        <x:v>26' 11월</x:v>
      </x:c>
      <x:c r="Z2" s="16"/>
      <x:c r="AA2" s="16"/>
      <x:c r="AB2" s="16"/>
      <x:c r="AC2" s="16" t="str">
        <x:v>26' 12월</x:v>
      </x:c>
      <x:c r="AD2" s="16"/>
      <x:c r="AE2" s="16"/>
      <x:c r="AF2" s="16"/>
    </x:row>
    <x:row r="3" ht="30" customHeight="1">
      <x:c r="A3" s="16" t="str">
        <x:v>Module</x:v>
      </x:c>
      <x:c r="B3" s="16" t="str">
        <x:v>Item</x:v>
      </x:c>
      <x:c r="C3" s="16" t="str">
        <x:v>상세 항목</x:v>
      </x:c>
      <x:c r="D3" s="16" t="str">
        <x:v>비고</x:v>
      </x:c>
      <x:c r="E3" s="16" t="str">
        <x:v>1주</x:v>
      </x:c>
      <x:c r="F3" s="16" t="str">
        <x:v>2주</x:v>
      </x:c>
      <x:c r="G3" s="16" t="str">
        <x:v>3주</x:v>
      </x:c>
      <x:c r="H3" s="16" t="str">
        <x:v>4주</x:v>
      </x:c>
      <x:c r="I3" s="16" t="str">
        <x:v>1주</x:v>
      </x:c>
      <x:c r="J3" s="16" t="str">
        <x:v>2주</x:v>
      </x:c>
      <x:c r="K3" s="16" t="str">
        <x:v>3주</x:v>
      </x:c>
      <x:c r="L3" s="16" t="str">
        <x:v>4주</x:v>
      </x:c>
      <x:c r="M3" s="16" t="str">
        <x:v>1주</x:v>
      </x:c>
      <x:c r="N3" s="16" t="str">
        <x:v>2주</x:v>
      </x:c>
      <x:c r="O3" s="16" t="str">
        <x:v>3주</x:v>
      </x:c>
      <x:c r="P3" s="16" t="str">
        <x:v>4주</x:v>
      </x:c>
      <x:c r="Q3" s="16" t="str">
        <x:v>1주</x:v>
      </x:c>
      <x:c r="R3" s="16" t="str">
        <x:v>2주</x:v>
      </x:c>
      <x:c r="S3" s="16" t="str">
        <x:v>3주</x:v>
      </x:c>
      <x:c r="T3" s="16" t="str">
        <x:v>4주</x:v>
      </x:c>
      <x:c r="U3" s="16" t="str">
        <x:v>1주</x:v>
      </x:c>
      <x:c r="V3" s="16" t="str">
        <x:v>2주</x:v>
      </x:c>
      <x:c r="W3" s="16" t="str">
        <x:v>3주</x:v>
      </x:c>
      <x:c r="X3" s="16" t="str">
        <x:v>4주</x:v>
      </x:c>
      <x:c r="Y3" s="16" t="str">
        <x:v>1주</x:v>
      </x:c>
      <x:c r="Z3" s="16" t="str">
        <x:v>2주</x:v>
      </x:c>
      <x:c r="AA3" s="16" t="str">
        <x:v>3주</x:v>
      </x:c>
      <x:c r="AB3" s="16" t="str">
        <x:v>4주</x:v>
      </x:c>
      <x:c r="AC3" s="16" t="str">
        <x:v>1주</x:v>
      </x:c>
      <x:c r="AD3" s="16" t="str">
        <x:v>2주</x:v>
      </x:c>
      <x:c r="AE3" s="16" t="str">
        <x:v>3주</x:v>
      </x:c>
      <x:c r="AF3" s="16" t="str">
        <x:v>4주</x:v>
      </x:c>
    </x:row>
    <x:row r="4" ht="18" customHeight="1">
      <x:c r="A4" s="19"/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42" t="str">
        <x:v>Today</x:v>
      </x:c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</x:row>
    <x:row r="5" ht="22" customHeight="1">
      <x:c r="A5" s="41" t="str">
        <x:v>01
공통 사양 및 시스템 설계</x:v>
      </x:c>
      <x:c r="B5" s="32" t="str">
        <x:v>01-01 고객 요구사항 Baseline 확정</x:v>
      </x:c>
      <x:c r="C5" s="32" t="str">
        <x:v>51개 기능 요구, 비기능·인수조건, 두 개의 추가 검토결과 열을 동결하고 변경관리 절차를 승인한다.</x:v>
      </x:c>
      <x:c r="D5" s="33" t="str">
        <x:v>계획</x:v>
      </x:c>
      <x:c r="E5" s="34" t="n">
        <x:v>1</x:v>
      </x:c>
      <x:c r="F5" s="34" t="n">
        <x:v>1</x:v>
      </x:c>
      <x:c r="G5" s="34" t="n">
        <x:v>1</x:v>
      </x:c>
      <x:c r="H5" s="34" t="n">
        <x:v>1</x:v>
      </x:c>
      <x:c r="I5" s="34" t="n">
        <x:v>1</x:v>
      </x:c>
      <x:c r="J5" s="34" t="n">
        <x:v>1</x:v>
      </x:c>
      <x:c r="K5" s="34" t="n">
        <x:v>1</x:v>
      </x:c>
      <x:c r="L5" s="34" t="n">
        <x:v>1</x:v>
      </x:c>
      <x:c r="M5" s="34" t="n">
        <x:v>1</x:v>
      </x:c>
      <x:c r="N5" s="34" t="n">
        <x:v>1</x:v>
      </x:c>
      <x:c r="O5" s="43" t="n">
        <x:v>1</x:v>
      </x:c>
      <x:c r="P5" s="34" t="n">
        <x:v>1</x:v>
      </x:c>
      <x:c r="Q5" s="31"/>
      <x:c r="R5" s="31"/>
      <x:c r="S5" s="31"/>
      <x:c r="T5" s="31"/>
      <x:c r="U5" s="31"/>
      <x:c r="V5" s="31"/>
      <x:c r="W5" s="31"/>
      <x:c r="X5" s="31"/>
      <x:c r="Y5" s="31"/>
      <x:c r="Z5" s="31"/>
      <x:c r="AA5" s="31"/>
      <x:c r="AB5" s="31"/>
      <x:c r="AC5" s="31"/>
      <x:c r="AD5" s="31"/>
      <x:c r="AE5" s="31"/>
      <x:c r="AF5" s="31"/>
    </x:row>
    <x:row r="6" ht="22" customHeight="1">
      <x:c r="A6" s="22"/>
      <x:c r="B6" s="23"/>
      <x:c r="C6" s="23"/>
      <x:c r="D6" s="24" t="str">
        <x:v>실적</x:v>
      </x:c>
      <x:c r="E6" s="30" t="n">
        <x:v>1</x:v>
      </x:c>
      <x:c r="F6" s="22"/>
      <x:c r="G6" s="22"/>
      <x:c r="H6" s="22"/>
      <x:c r="I6" s="22"/>
      <x:c r="J6" s="22"/>
      <x:c r="K6" s="22"/>
      <x:c r="L6" s="22"/>
      <x:c r="M6" s="22"/>
      <x:c r="N6" s="22"/>
      <x:c r="O6" s="44"/>
      <x:c r="P6" s="22"/>
      <x:c r="Q6" s="22"/>
      <x:c r="R6" s="22"/>
      <x:c r="S6" s="22"/>
      <x:c r="T6" s="22"/>
      <x:c r="U6" s="22"/>
      <x:c r="V6" s="22"/>
      <x:c r="W6" s="22"/>
      <x:c r="X6" s="22"/>
      <x:c r="Y6" s="22"/>
      <x:c r="Z6" s="22"/>
      <x:c r="AA6" s="22"/>
      <x:c r="AB6" s="22"/>
      <x:c r="AC6" s="22"/>
      <x:c r="AD6" s="22"/>
      <x:c r="AE6" s="22"/>
      <x:c r="AF6" s="22"/>
    </x:row>
    <x:row r="7" ht="22" customHeight="1">
      <x:c r="A7" s="22"/>
      <x:c r="B7" s="23" t="str">
        <x:v>01-02 설비 전체 Flow Chart</x:v>
      </x:c>
      <x:c r="C7" s="23" t="str">
        <x:v>Process–Stage–Vision–Scanner–Laser–Review의 정상/정지/복구 흐름과 Handshake를 확정한다.</x:v>
      </x:c>
      <x:c r="D7" s="24" t="str">
        <x:v>계획</x:v>
      </x:c>
      <x:c r="E7" s="27" t="n">
        <x:v>1</x:v>
      </x:c>
      <x:c r="F7" s="27" t="n">
        <x:v>1</x:v>
      </x:c>
      <x:c r="G7" s="27" t="n">
        <x:v>1</x:v>
      </x:c>
      <x:c r="H7" s="27" t="n">
        <x:v>1</x:v>
      </x:c>
      <x:c r="I7" s="27" t="n">
        <x:v>1</x:v>
      </x:c>
      <x:c r="J7" s="27" t="n">
        <x:v>1</x:v>
      </x:c>
      <x:c r="K7" s="27" t="n">
        <x:v>1</x:v>
      </x:c>
      <x:c r="L7" s="27" t="n">
        <x:v>1</x:v>
      </x:c>
      <x:c r="M7" s="27" t="n">
        <x:v>1</x:v>
      </x:c>
      <x:c r="N7" s="27" t="n">
        <x:v>1</x:v>
      </x:c>
      <x:c r="O7" s="45" t="n">
        <x:v>1</x:v>
      </x:c>
      <x:c r="P7" s="27" t="n">
        <x:v>1</x:v>
      </x:c>
      <x:c r="Q7" s="27" t="n">
        <x:v>1</x:v>
      </x:c>
      <x:c r="R7" s="22"/>
      <x:c r="S7" s="22"/>
      <x:c r="T7" s="22"/>
      <x:c r="U7" s="22"/>
      <x:c r="V7" s="22"/>
      <x:c r="W7" s="22"/>
      <x:c r="X7" s="22"/>
      <x:c r="Y7" s="22"/>
      <x:c r="Z7" s="22"/>
      <x:c r="AA7" s="22"/>
      <x:c r="AB7" s="22"/>
      <x:c r="AC7" s="22"/>
      <x:c r="AD7" s="22"/>
      <x:c r="AE7" s="22"/>
      <x:c r="AF7" s="22"/>
    </x:row>
    <x:row r="8" ht="22" customHeight="1">
      <x:c r="A8" s="22"/>
      <x:c r="B8" s="23"/>
      <x:c r="C8" s="23"/>
      <x:c r="D8" s="24" t="str">
        <x:v>실적</x:v>
      </x:c>
      <x:c r="E8" s="30" t="n">
        <x:v>1</x:v>
      </x:c>
      <x:c r="F8" s="30" t="n">
        <x:v>1</x:v>
      </x:c>
      <x:c r="G8" s="30" t="n">
        <x:v>1</x:v>
      </x:c>
      <x:c r="H8" s="30" t="n">
        <x:v>1</x:v>
      </x:c>
      <x:c r="I8" s="30" t="n">
        <x:v>1</x:v>
      </x:c>
      <x:c r="J8" s="30" t="n">
        <x:v>1</x:v>
      </x:c>
      <x:c r="K8" s="30" t="n">
        <x:v>1</x:v>
      </x:c>
      <x:c r="L8" s="30" t="n">
        <x:v>1</x:v>
      </x:c>
      <x:c r="M8" s="30" t="n">
        <x:v>1</x:v>
      </x:c>
      <x:c r="N8" s="22"/>
      <x:c r="O8" s="44"/>
      <x:c r="P8" s="22"/>
      <x:c r="Q8" s="22"/>
      <x:c r="R8" s="22"/>
      <x:c r="S8" s="22"/>
      <x:c r="T8" s="22"/>
      <x:c r="U8" s="22"/>
      <x:c r="V8" s="22"/>
      <x:c r="W8" s="22"/>
      <x:c r="X8" s="22"/>
      <x:c r="Y8" s="22"/>
      <x:c r="Z8" s="22"/>
      <x:c r="AA8" s="22"/>
      <x:c r="AB8" s="22"/>
      <x:c r="AC8" s="22"/>
      <x:c r="AD8" s="22"/>
      <x:c r="AE8" s="22"/>
      <x:c r="AF8" s="22"/>
    </x:row>
    <x:row r="9" ht="22" customHeight="1">
      <x:c r="A9" s="22"/>
      <x:c r="B9" s="23" t="str">
        <x:v>01-03 역할·상태 소유권 정의</x:v>
      </x:c>
      <x:c r="C9" s="23" t="str">
        <x:v>Process/Stage/Vision/Scanner/CIM별 명령권·상태권·오류복구 책임과 Process PC/Server PC 분산구조를 확정한다.</x:v>
      </x:c>
      <x:c r="D9" s="24" t="str">
        <x:v>계획</x:v>
      </x:c>
      <x:c r="E9" s="22"/>
      <x:c r="F9" s="27" t="n">
        <x:v>1</x:v>
      </x:c>
      <x:c r="G9" s="27" t="n">
        <x:v>1</x:v>
      </x:c>
      <x:c r="H9" s="27" t="n">
        <x:v>1</x:v>
      </x:c>
      <x:c r="I9" s="27" t="n">
        <x:v>1</x:v>
      </x:c>
      <x:c r="J9" s="27" t="n">
        <x:v>1</x:v>
      </x:c>
      <x:c r="K9" s="27" t="n">
        <x:v>1</x:v>
      </x:c>
      <x:c r="L9" s="27" t="n">
        <x:v>1</x:v>
      </x:c>
      <x:c r="M9" s="27" t="n">
        <x:v>1</x:v>
      </x:c>
      <x:c r="N9" s="27" t="n">
        <x:v>1</x:v>
      </x:c>
      <x:c r="O9" s="45" t="n">
        <x:v>1</x:v>
      </x:c>
      <x:c r="P9" s="27" t="n">
        <x:v>1</x:v>
      </x:c>
      <x:c r="Q9" s="27" t="n">
        <x:v>1</x:v>
      </x:c>
      <x:c r="R9" s="22"/>
      <x:c r="S9" s="22"/>
      <x:c r="T9" s="22"/>
      <x:c r="U9" s="22"/>
      <x:c r="V9" s="22"/>
      <x:c r="W9" s="22"/>
      <x:c r="X9" s="22"/>
      <x:c r="Y9" s="22"/>
      <x:c r="Z9" s="22"/>
      <x:c r="AA9" s="22"/>
      <x:c r="AB9" s="22"/>
      <x:c r="AC9" s="22"/>
      <x:c r="AD9" s="22"/>
      <x:c r="AE9" s="22"/>
      <x:c r="AF9" s="22"/>
    </x:row>
    <x:row r="10" ht="22" customHeight="1">
      <x:c r="A10" s="22"/>
      <x:c r="B10" s="23"/>
      <x:c r="C10" s="23"/>
      <x:c r="D10" s="24" t="str">
        <x:v>실적</x:v>
      </x:c>
      <x:c r="E10" s="22"/>
      <x:c r="F10" s="30" t="n">
        <x:v>1</x:v>
      </x:c>
      <x:c r="G10" s="30" t="n">
        <x:v>1</x:v>
      </x:c>
      <x:c r="H10" s="30" t="n">
        <x:v>1</x:v>
      </x:c>
      <x:c r="I10" s="30" t="n">
        <x:v>1</x:v>
      </x:c>
      <x:c r="J10" s="30" t="n">
        <x:v>1</x:v>
      </x:c>
      <x:c r="K10" s="30" t="n">
        <x:v>1</x:v>
      </x:c>
      <x:c r="L10" s="30" t="n">
        <x:v>1</x:v>
      </x:c>
      <x:c r="M10" s="22"/>
      <x:c r="N10" s="22"/>
      <x:c r="O10" s="44"/>
      <x:c r="P10" s="22"/>
      <x:c r="Q10" s="22"/>
      <x:c r="R10" s="22"/>
      <x:c r="S10" s="22"/>
      <x:c r="T10" s="22"/>
      <x:c r="U10" s="22"/>
      <x:c r="V10" s="22"/>
      <x:c r="W10" s="22"/>
      <x:c r="X10" s="22"/>
      <x:c r="Y10" s="22"/>
      <x:c r="Z10" s="22"/>
      <x:c r="AA10" s="22"/>
      <x:c r="AB10" s="22"/>
      <x:c r="AC10" s="22"/>
      <x:c r="AD10" s="22"/>
      <x:c r="AE10" s="22"/>
      <x:c r="AF10" s="22"/>
    </x:row>
    <x:row r="11" ht="22" customHeight="1">
      <x:c r="A11" s="22"/>
      <x:c r="B11" s="23" t="str">
        <x:v>01-04 Component·Driver 목록 확정</x:v>
      </x:c>
      <x:c r="C11" s="23" t="str">
        <x:v>GL4, XC2, ACS/XPS, Talon Laser, ATT, Power Meter, BET, PicoMotor와 SDK/DLL 버전을 고정한다.</x:v>
      </x:c>
      <x:c r="D11" s="24" t="str">
        <x:v>계획</x:v>
      </x:c>
      <x:c r="E11" s="27" t="n">
        <x:v>1</x:v>
      </x:c>
      <x:c r="F11" s="27" t="n">
        <x:v>1</x:v>
      </x:c>
      <x:c r="G11" s="27" t="n">
        <x:v>1</x:v>
      </x:c>
      <x:c r="H11" s="27" t="n">
        <x:v>1</x:v>
      </x:c>
      <x:c r="I11" s="27" t="n">
        <x:v>1</x:v>
      </x:c>
      <x:c r="J11" s="27" t="n">
        <x:v>1</x:v>
      </x:c>
      <x:c r="K11" s="27" t="n">
        <x:v>1</x:v>
      </x:c>
      <x:c r="L11" s="27" t="n">
        <x:v>1</x:v>
      </x:c>
      <x:c r="M11" s="27" t="n">
        <x:v>1</x:v>
      </x:c>
      <x:c r="N11" s="27" t="n">
        <x:v>1</x:v>
      </x:c>
      <x:c r="O11" s="45" t="n">
        <x:v>1</x:v>
      </x:c>
      <x:c r="P11" s="22"/>
      <x:c r="Q11" s="22"/>
      <x:c r="R11" s="22"/>
      <x:c r="S11" s="22"/>
      <x:c r="T11" s="22"/>
      <x:c r="U11" s="22"/>
      <x:c r="V11" s="22"/>
      <x:c r="W11" s="22"/>
      <x:c r="X11" s="22"/>
      <x:c r="Y11" s="22"/>
      <x:c r="Z11" s="22"/>
      <x:c r="AA11" s="22"/>
      <x:c r="AB11" s="22"/>
      <x:c r="AC11" s="22"/>
      <x:c r="AD11" s="22"/>
      <x:c r="AE11" s="22"/>
      <x:c r="AF11" s="22"/>
    </x:row>
    <x:row r="12" ht="22" customHeight="1">
      <x:c r="A12" s="22"/>
      <x:c r="B12" s="23"/>
      <x:c r="C12" s="23"/>
      <x:c r="D12" s="24" t="str">
        <x:v>실적</x:v>
      </x:c>
      <x:c r="E12" s="30" t="n">
        <x:v>1</x:v>
      </x:c>
      <x:c r="F12" s="30" t="n">
        <x:v>1</x:v>
      </x:c>
      <x:c r="G12" s="30" t="n">
        <x:v>1</x:v>
      </x:c>
      <x:c r="H12" s="30" t="n">
        <x:v>1</x:v>
      </x:c>
      <x:c r="I12" s="30" t="n">
        <x:v>1</x:v>
      </x:c>
      <x:c r="J12" s="30" t="n">
        <x:v>1</x:v>
      </x:c>
      <x:c r="K12" s="30" t="n">
        <x:v>1</x:v>
      </x:c>
      <x:c r="L12" s="30" t="n">
        <x:v>1</x:v>
      </x:c>
      <x:c r="M12" s="30" t="n">
        <x:v>1</x:v>
      </x:c>
      <x:c r="N12" s="22"/>
      <x:c r="O12" s="44"/>
      <x:c r="P12" s="22"/>
      <x:c r="Q12" s="22"/>
      <x:c r="R12" s="22"/>
      <x:c r="S12" s="22"/>
      <x:c r="T12" s="22"/>
      <x:c r="U12" s="22"/>
      <x:c r="V12" s="22"/>
      <x:c r="W12" s="22"/>
      <x:c r="X12" s="22"/>
      <x:c r="Y12" s="22"/>
      <x:c r="Z12" s="22"/>
      <x:c r="AA12" s="22"/>
      <x:c r="AB12" s="22"/>
      <x:c r="AC12" s="22"/>
      <x:c r="AD12" s="22"/>
      <x:c r="AE12" s="22"/>
      <x:c r="AF12" s="22"/>
    </x:row>
    <x:row r="13" ht="22" customHeight="1">
      <x:c r="A13" s="22"/>
      <x:c r="B13" s="23" t="str">
        <x:v>01-05 좌표계·단위 사양서</x:v>
      </x:c>
      <x:c r="C13" s="23" t="str">
        <x:v>Design/Glass(Global)/Cell/Align/Stage/Scanner GX·GY/Review 좌표와 단위·회전·부호·원점을 단일 사양으로 승인한다.</x:v>
      </x:c>
      <x:c r="D13" s="24" t="str">
        <x:v>계획</x:v>
      </x:c>
      <x:c r="E13" s="22"/>
      <x:c r="F13" s="27" t="n">
        <x:v>1</x:v>
      </x:c>
      <x:c r="G13" s="27" t="n">
        <x:v>1</x:v>
      </x:c>
      <x:c r="H13" s="27" t="n">
        <x:v>1</x:v>
      </x:c>
      <x:c r="I13" s="27" t="n">
        <x:v>1</x:v>
      </x:c>
      <x:c r="J13" s="27" t="n">
        <x:v>1</x:v>
      </x:c>
      <x:c r="K13" s="27" t="n">
        <x:v>1</x:v>
      </x:c>
      <x:c r="L13" s="27" t="n">
        <x:v>1</x:v>
      </x:c>
      <x:c r="M13" s="27" t="n">
        <x:v>1</x:v>
      </x:c>
      <x:c r="N13" s="27" t="n">
        <x:v>1</x:v>
      </x:c>
      <x:c r="O13" s="45" t="n">
        <x:v>1</x:v>
      </x:c>
      <x:c r="P13" s="27" t="n">
        <x:v>1</x:v>
      </x:c>
      <x:c r="Q13" s="27" t="n">
        <x:v>1</x:v>
      </x:c>
      <x:c r="R13" s="27" t="n">
        <x:v>1</x:v>
      </x:c>
      <x:c r="S13" s="27" t="n">
        <x:v>1</x:v>
      </x:c>
      <x:c r="T13" s="22"/>
      <x:c r="U13" s="22"/>
      <x:c r="V13" s="22"/>
      <x:c r="W13" s="22"/>
      <x:c r="X13" s="22"/>
      <x:c r="Y13" s="22"/>
      <x:c r="Z13" s="22"/>
      <x:c r="AA13" s="22"/>
      <x:c r="AB13" s="22"/>
      <x:c r="AC13" s="22"/>
      <x:c r="AD13" s="22"/>
      <x:c r="AE13" s="22"/>
      <x:c r="AF13" s="22"/>
    </x:row>
    <x:row r="14" ht="22" customHeight="1">
      <x:c r="A14" s="22"/>
      <x:c r="B14" s="23"/>
      <x:c r="C14" s="23"/>
      <x:c r="D14" s="24" t="str">
        <x:v>실적</x:v>
      </x:c>
      <x:c r="E14" s="22"/>
      <x:c r="F14" s="30" t="n">
        <x:v>1</x:v>
      </x:c>
      <x:c r="G14" s="30" t="n">
        <x:v>1</x:v>
      </x:c>
      <x:c r="H14" s="30" t="n">
        <x:v>1</x:v>
      </x:c>
      <x:c r="I14" s="30" t="n">
        <x:v>1</x:v>
      </x:c>
      <x:c r="J14" s="30" t="n">
        <x:v>1</x:v>
      </x:c>
      <x:c r="K14" s="30" t="n">
        <x:v>1</x:v>
      </x:c>
      <x:c r="L14" s="30" t="n">
        <x:v>1</x:v>
      </x:c>
      <x:c r="M14" s="30" t="n">
        <x:v>1</x:v>
      </x:c>
      <x:c r="N14" s="22"/>
      <x:c r="O14" s="44"/>
      <x:c r="P14" s="22"/>
      <x:c r="Q14" s="22"/>
      <x:c r="R14" s="22"/>
      <x:c r="S14" s="22"/>
      <x:c r="T14" s="22"/>
      <x:c r="U14" s="22"/>
      <x:c r="V14" s="22"/>
      <x:c r="W14" s="22"/>
      <x:c r="X14" s="22"/>
      <x:c r="Y14" s="22"/>
      <x:c r="Z14" s="22"/>
      <x:c r="AA14" s="22"/>
      <x:c r="AB14" s="22"/>
      <x:c r="AC14" s="22"/>
      <x:c r="AD14" s="22"/>
      <x:c r="AE14" s="22"/>
      <x:c r="AF14" s="22"/>
    </x:row>
    <x:row r="15" ht="22" customHeight="1">
      <x:c r="A15" s="22"/>
      <x:c r="B15" s="23" t="str">
        <x:v>01-06 품질·보안·성능 Baseline</x:v>
      </x:c>
      <x:c r="C15" s="23" t="str">
        <x:v>Tact, 가동시간, 사용자권한, 데이터 보존, 백업, 설치·교육·인수 문서의 정량 기준을 확정한다.</x:v>
      </x:c>
      <x:c r="D15" s="24" t="str">
        <x:v>계획</x:v>
      </x:c>
      <x:c r="E15" s="22"/>
      <x:c r="F15" s="22"/>
      <x:c r="G15" s="22"/>
      <x:c r="H15" s="22"/>
      <x:c r="I15" s="22"/>
      <x:c r="J15" s="22"/>
      <x:c r="K15" s="27" t="n">
        <x:v>1</x:v>
      </x:c>
      <x:c r="L15" s="27" t="n">
        <x:v>1</x:v>
      </x:c>
      <x:c r="M15" s="27" t="n">
        <x:v>1</x:v>
      </x:c>
      <x:c r="N15" s="27" t="n">
        <x:v>1</x:v>
      </x:c>
      <x:c r="O15" s="45" t="n">
        <x:v>1</x:v>
      </x:c>
      <x:c r="P15" s="27" t="n">
        <x:v>1</x:v>
      </x:c>
      <x:c r="Q15" s="27" t="n">
        <x:v>1</x:v>
      </x:c>
      <x:c r="R15" s="27" t="n">
        <x:v>1</x:v>
      </x:c>
      <x:c r="S15" s="27" t="n">
        <x:v>1</x:v>
      </x:c>
      <x:c r="T15" s="27" t="n">
        <x:v>1</x:v>
      </x:c>
      <x:c r="U15" s="22"/>
      <x:c r="V15" s="22"/>
      <x:c r="W15" s="22"/>
      <x:c r="X15" s="22"/>
      <x:c r="Y15" s="22"/>
      <x:c r="Z15" s="22"/>
      <x:c r="AA15" s="22"/>
      <x:c r="AB15" s="22"/>
      <x:c r="AC15" s="22"/>
      <x:c r="AD15" s="22"/>
      <x:c r="AE15" s="22"/>
      <x:c r="AF15" s="22"/>
    </x:row>
    <x:row r="16" ht="22" customHeight="1">
      <x:c r="A16" s="35"/>
      <x:c r="B16" s="36"/>
      <x:c r="C16" s="36"/>
      <x:c r="D16" s="37" t="str">
        <x:v>실적</x:v>
      </x:c>
      <x:c r="E16" s="35"/>
      <x:c r="F16" s="35"/>
      <x:c r="G16" s="35"/>
      <x:c r="H16" s="35"/>
      <x:c r="I16" s="35"/>
      <x:c r="J16" s="35"/>
      <x:c r="K16" s="38" t="n">
        <x:v>1</x:v>
      </x:c>
      <x:c r="L16" s="38" t="n">
        <x:v>1</x:v>
      </x:c>
      <x:c r="M16" s="38" t="n">
        <x:v>1</x:v>
      </x:c>
      <x:c r="N16" s="38" t="n">
        <x:v>1</x:v>
      </x:c>
      <x:c r="O16" s="46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  <x:c r="AA16" s="35"/>
      <x:c r="AB16" s="35"/>
      <x:c r="AC16" s="35"/>
      <x:c r="AD16" s="35"/>
      <x:c r="AE16" s="35"/>
      <x:c r="AF16" s="35"/>
    </x:row>
    <x:row r="17" ht="22" customHeight="1">
      <x:c r="A17" s="41" t="str">
        <x:v>02
UI 및 모니터링</x:v>
      </x:c>
      <x:c r="B17" s="32" t="str">
        <x:v>02-01 Main/Auto 통합 화면</x:v>
      </x:c>
      <x:c r="C17" s="32" t="str">
        <x:v>Auto Start/Stop, 상태, 진행률, 사용 Head, 가공/Review 위치, Precheck·Interlock 상태를 실시간 표시한다.</x:v>
      </x:c>
      <x:c r="D17" s="33" t="str">
        <x:v>계획</x:v>
      </x:c>
      <x:c r="E17" s="34" t="n">
        <x:v>1</x:v>
      </x:c>
      <x:c r="F17" s="34" t="n">
        <x:v>1</x:v>
      </x:c>
      <x:c r="G17" s="34" t="n">
        <x:v>1</x:v>
      </x:c>
      <x:c r="H17" s="34" t="n">
        <x:v>1</x:v>
      </x:c>
      <x:c r="I17" s="34" t="n">
        <x:v>1</x:v>
      </x:c>
      <x:c r="J17" s="34" t="n">
        <x:v>1</x:v>
      </x:c>
      <x:c r="K17" s="34" t="n">
        <x:v>1</x:v>
      </x:c>
      <x:c r="L17" s="34" t="n">
        <x:v>1</x:v>
      </x:c>
      <x:c r="M17" s="34" t="n">
        <x:v>1</x:v>
      </x:c>
      <x:c r="N17" s="34" t="n">
        <x:v>1</x:v>
      </x:c>
      <x:c r="O17" s="43" t="n">
        <x:v>1</x:v>
      </x:c>
      <x:c r="P17" s="34" t="n">
        <x:v>1</x:v>
      </x:c>
      <x:c r="Q17" s="34" t="n">
        <x:v>1</x:v>
      </x:c>
      <x:c r="R17" s="34" t="n">
        <x:v>1</x:v>
      </x:c>
      <x:c r="S17" s="31"/>
      <x:c r="T17" s="31"/>
      <x:c r="U17" s="31"/>
      <x:c r="V17" s="31"/>
      <x:c r="W17" s="31"/>
      <x:c r="X17" s="31"/>
      <x:c r="Y17" s="31"/>
      <x:c r="Z17" s="31"/>
      <x:c r="AA17" s="31"/>
      <x:c r="AB17" s="31"/>
      <x:c r="AC17" s="31"/>
      <x:c r="AD17" s="31"/>
      <x:c r="AE17" s="31"/>
      <x:c r="AF17" s="31"/>
    </x:row>
    <x:row r="18" ht="22" customHeight="1">
      <x:c r="A18" s="22"/>
      <x:c r="B18" s="23"/>
      <x:c r="C18" s="23"/>
      <x:c r="D18" s="24" t="str">
        <x:v>실적</x:v>
      </x:c>
      <x:c r="E18" s="30" t="n">
        <x:v>1</x:v>
      </x:c>
      <x:c r="F18" s="30" t="n">
        <x:v>1</x:v>
      </x:c>
      <x:c r="G18" s="30" t="n">
        <x:v>1</x:v>
      </x:c>
      <x:c r="H18" s="30" t="n">
        <x:v>1</x:v>
      </x:c>
      <x:c r="I18" s="30" t="n">
        <x:v>1</x:v>
      </x:c>
      <x:c r="J18" s="30" t="n">
        <x:v>1</x:v>
      </x:c>
      <x:c r="K18" s="30" t="n">
        <x:v>1</x:v>
      </x:c>
      <x:c r="L18" s="30" t="n">
        <x:v>1</x:v>
      </x:c>
      <x:c r="M18" s="30" t="n">
        <x:v>1</x:v>
      </x:c>
      <x:c r="N18" s="22"/>
      <x:c r="O18" s="44"/>
      <x:c r="P18" s="22"/>
      <x:c r="Q18" s="22"/>
      <x:c r="R18" s="22"/>
      <x:c r="S18" s="22"/>
      <x:c r="T18" s="22"/>
      <x:c r="U18" s="22"/>
      <x:c r="V18" s="22"/>
      <x:c r="W18" s="22"/>
      <x:c r="X18" s="22"/>
      <x:c r="Y18" s="22"/>
      <x:c r="Z18" s="22"/>
      <x:c r="AA18" s="22"/>
      <x:c r="AB18" s="22"/>
      <x:c r="AC18" s="22"/>
      <x:c r="AD18" s="22"/>
      <x:c r="AE18" s="22"/>
      <x:c r="AF18" s="22"/>
    </x:row>
    <x:row r="19" ht="22" customHeight="1">
      <x:c r="A19" s="22"/>
      <x:c r="B19" s="23" t="str">
        <x:v>02-02 Manual·Maintenance 화면</x:v>
      </x:c>
      <x:c r="C19" s="23" t="str">
        <x:v>장비별 연결·원점·Jog·Move·Stop·출사/측정 명령과 권한·안전확인을 통합한다.</x:v>
      </x:c>
      <x:c r="D19" s="24" t="str">
        <x:v>계획</x:v>
      </x:c>
      <x:c r="E19" s="27" t="n">
        <x:v>1</x:v>
      </x:c>
      <x:c r="F19" s="27" t="n">
        <x:v>1</x:v>
      </x:c>
      <x:c r="G19" s="27" t="n">
        <x:v>1</x:v>
      </x:c>
      <x:c r="H19" s="27" t="n">
        <x:v>1</x:v>
      </x:c>
      <x:c r="I19" s="27" t="n">
        <x:v>1</x:v>
      </x:c>
      <x:c r="J19" s="27" t="n">
        <x:v>1</x:v>
      </x:c>
      <x:c r="K19" s="27" t="n">
        <x:v>1</x:v>
      </x:c>
      <x:c r="L19" s="27" t="n">
        <x:v>1</x:v>
      </x:c>
      <x:c r="M19" s="27" t="n">
        <x:v>1</x:v>
      </x:c>
      <x:c r="N19" s="27" t="n">
        <x:v>1</x:v>
      </x:c>
      <x:c r="O19" s="45" t="n">
        <x:v>1</x:v>
      </x:c>
      <x:c r="P19" s="27" t="n">
        <x:v>1</x:v>
      </x:c>
      <x:c r="Q19" s="27" t="n">
        <x:v>1</x:v>
      </x:c>
      <x:c r="R19" s="27" t="n">
        <x:v>1</x:v>
      </x:c>
      <x:c r="S19" s="27" t="n">
        <x:v>1</x:v>
      </x:c>
      <x:c r="T19" s="22"/>
      <x:c r="U19" s="22"/>
      <x:c r="V19" s="22"/>
      <x:c r="W19" s="22"/>
      <x:c r="X19" s="22"/>
      <x:c r="Y19" s="22"/>
      <x:c r="Z19" s="22"/>
      <x:c r="AA19" s="22"/>
      <x:c r="AB19" s="22"/>
      <x:c r="AC19" s="22"/>
      <x:c r="AD19" s="22"/>
      <x:c r="AE19" s="22"/>
      <x:c r="AF19" s="22"/>
    </x:row>
    <x:row r="20" ht="22" customHeight="1">
      <x:c r="A20" s="22"/>
      <x:c r="B20" s="23"/>
      <x:c r="C20" s="23"/>
      <x:c r="D20" s="24" t="str">
        <x:v>실적</x:v>
      </x:c>
      <x:c r="E20" s="30" t="n">
        <x:v>1</x:v>
      </x:c>
      <x:c r="F20" s="30" t="n">
        <x:v>1</x:v>
      </x:c>
      <x:c r="G20" s="30" t="n">
        <x:v>1</x:v>
      </x:c>
      <x:c r="H20" s="30" t="n">
        <x:v>1</x:v>
      </x:c>
      <x:c r="I20" s="30" t="n">
        <x:v>1</x:v>
      </x:c>
      <x:c r="J20" s="30" t="n">
        <x:v>1</x:v>
      </x:c>
      <x:c r="K20" s="30" t="n">
        <x:v>1</x:v>
      </x:c>
      <x:c r="L20" s="22"/>
      <x:c r="M20" s="22"/>
      <x:c r="N20" s="22"/>
      <x:c r="O20" s="44"/>
      <x:c r="P20" s="22"/>
      <x:c r="Q20" s="22"/>
      <x:c r="R20" s="22"/>
      <x:c r="S20" s="22"/>
      <x:c r="T20" s="22"/>
      <x:c r="U20" s="22"/>
      <x:c r="V20" s="22"/>
      <x:c r="W20" s="22"/>
      <x:c r="X20" s="22"/>
      <x:c r="Y20" s="22"/>
      <x:c r="Z20" s="22"/>
      <x:c r="AA20" s="22"/>
      <x:c r="AB20" s="22"/>
      <x:c r="AC20" s="22"/>
      <x:c r="AD20" s="22"/>
      <x:c r="AE20" s="22"/>
      <x:c r="AF20" s="22"/>
    </x:row>
    <x:row r="21" ht="22" customHeight="1">
      <x:c r="A21" s="22"/>
      <x:c r="B21" s="23" t="str">
        <x:v>02-03 Recipe·PPID 화면</x:v>
      </x:c>
      <x:c r="C21" s="23" t="str">
        <x:v>Recipe 생성/복사/삭제/선택, PPID 매칭, 보정데이터 포함 여부와 변경영향을 표시한다.</x:v>
      </x:c>
      <x:c r="D21" s="24" t="str">
        <x:v>계획</x:v>
      </x:c>
      <x:c r="E21" s="27" t="n">
        <x:v>1</x:v>
      </x:c>
      <x:c r="F21" s="27" t="n">
        <x:v>1</x:v>
      </x:c>
      <x:c r="G21" s="27" t="n">
        <x:v>1</x:v>
      </x:c>
      <x:c r="H21" s="27" t="n">
        <x:v>1</x:v>
      </x:c>
      <x:c r="I21" s="27" t="n">
        <x:v>1</x:v>
      </x:c>
      <x:c r="J21" s="27" t="n">
        <x:v>1</x:v>
      </x:c>
      <x:c r="K21" s="27" t="n">
        <x:v>1</x:v>
      </x:c>
      <x:c r="L21" s="27" t="n">
        <x:v>1</x:v>
      </x:c>
      <x:c r="M21" s="27" t="n">
        <x:v>1</x:v>
      </x:c>
      <x:c r="N21" s="27" t="n">
        <x:v>1</x:v>
      </x:c>
      <x:c r="O21" s="45" t="n">
        <x:v>1</x:v>
      </x:c>
      <x:c r="P21" s="27" t="n">
        <x:v>1</x:v>
      </x:c>
      <x:c r="Q21" s="27" t="n">
        <x:v>1</x:v>
      </x:c>
      <x:c r="R21" s="27" t="n">
        <x:v>1</x:v>
      </x:c>
      <x:c r="S21" s="27" t="n">
        <x:v>1</x:v>
      </x:c>
      <x:c r="T21" s="27" t="n">
        <x:v>1</x:v>
      </x:c>
      <x:c r="U21" s="22"/>
      <x:c r="V21" s="22"/>
      <x:c r="W21" s="22"/>
      <x:c r="X21" s="22"/>
      <x:c r="Y21" s="22"/>
      <x:c r="Z21" s="22"/>
      <x:c r="AA21" s="22"/>
      <x:c r="AB21" s="22"/>
      <x:c r="AC21" s="22"/>
      <x:c r="AD21" s="22"/>
      <x:c r="AE21" s="22"/>
      <x:c r="AF21" s="22"/>
    </x:row>
    <x:row r="22" ht="22" customHeight="1">
      <x:c r="A22" s="22"/>
      <x:c r="B22" s="23"/>
      <x:c r="C22" s="23"/>
      <x:c r="D22" s="24" t="str">
        <x:v>실적</x:v>
      </x:c>
      <x:c r="E22" s="30" t="n">
        <x:v>1</x:v>
      </x:c>
      <x:c r="F22" s="30" t="n">
        <x:v>1</x:v>
      </x:c>
      <x:c r="G22" s="30" t="n">
        <x:v>1</x:v>
      </x:c>
      <x:c r="H22" s="30" t="n">
        <x:v>1</x:v>
      </x:c>
      <x:c r="I22" s="30" t="n">
        <x:v>1</x:v>
      </x:c>
      <x:c r="J22" s="30" t="n">
        <x:v>1</x:v>
      </x:c>
      <x:c r="K22" s="30" t="n">
        <x:v>1</x:v>
      </x:c>
      <x:c r="L22" s="30" t="n">
        <x:v>1</x:v>
      </x:c>
      <x:c r="M22" s="30" t="n">
        <x:v>1</x:v>
      </x:c>
      <x:c r="N22" s="30" t="n">
        <x:v>1</x:v>
      </x:c>
      <x:c r="O22" s="44"/>
      <x:c r="P22" s="22"/>
      <x:c r="Q22" s="22"/>
      <x:c r="R22" s="22"/>
      <x:c r="S22" s="22"/>
      <x:c r="T22" s="22"/>
      <x:c r="U22" s="22"/>
      <x:c r="V22" s="22"/>
      <x:c r="W22" s="22"/>
      <x:c r="X22" s="22"/>
      <x:c r="Y22" s="22"/>
      <x:c r="Z22" s="22"/>
      <x:c r="AA22" s="22"/>
      <x:c r="AB22" s="22"/>
      <x:c r="AC22" s="22"/>
      <x:c r="AD22" s="22"/>
      <x:c r="AE22" s="22"/>
      <x:c r="AF22" s="22"/>
    </x:row>
    <x:row r="23" ht="22" customHeight="1">
      <x:c r="A23" s="22"/>
      <x:c r="B23" s="23" t="str">
        <x:v>02-04 Setting·Alarm·History 화면</x:v>
      </x:c>
      <x:c r="C23" s="23" t="str">
        <x:v>Setting 저장/재로딩, Current/History Alarm, Interface/Sequence/Recipe Log 조회를 완성한다.</x:v>
      </x:c>
      <x:c r="D23" s="24" t="str">
        <x:v>계획</x:v>
      </x:c>
      <x:c r="E23" s="27" t="n">
        <x:v>1</x:v>
      </x:c>
      <x:c r="F23" s="27" t="n">
        <x:v>1</x:v>
      </x:c>
      <x:c r="G23" s="27" t="n">
        <x:v>1</x:v>
      </x:c>
      <x:c r="H23" s="27" t="n">
        <x:v>1</x:v>
      </x:c>
      <x:c r="I23" s="27" t="n">
        <x:v>1</x:v>
      </x:c>
      <x:c r="J23" s="27" t="n">
        <x:v>1</x:v>
      </x:c>
      <x:c r="K23" s="27" t="n">
        <x:v>1</x:v>
      </x:c>
      <x:c r="L23" s="27" t="n">
        <x:v>1</x:v>
      </x:c>
      <x:c r="M23" s="27" t="n">
        <x:v>1</x:v>
      </x:c>
      <x:c r="N23" s="27" t="n">
        <x:v>1</x:v>
      </x:c>
      <x:c r="O23" s="45" t="n">
        <x:v>1</x:v>
      </x:c>
      <x:c r="P23" s="27" t="n">
        <x:v>1</x:v>
      </x:c>
      <x:c r="Q23" s="27" t="n">
        <x:v>1</x:v>
      </x:c>
      <x:c r="R23" s="27" t="n">
        <x:v>1</x:v>
      </x:c>
      <x:c r="S23" s="27" t="n">
        <x:v>1</x:v>
      </x:c>
      <x:c r="T23" s="22"/>
      <x:c r="U23" s="22"/>
      <x:c r="V23" s="22"/>
      <x:c r="W23" s="22"/>
      <x:c r="X23" s="22"/>
      <x:c r="Y23" s="22"/>
      <x:c r="Z23" s="22"/>
      <x:c r="AA23" s="22"/>
      <x:c r="AB23" s="22"/>
      <x:c r="AC23" s="22"/>
      <x:c r="AD23" s="22"/>
      <x:c r="AE23" s="22"/>
      <x:c r="AF23" s="22"/>
    </x:row>
    <x:row r="24" ht="22" customHeight="1">
      <x:c r="A24" s="22"/>
      <x:c r="B24" s="23"/>
      <x:c r="C24" s="23"/>
      <x:c r="D24" s="24" t="str">
        <x:v>실적</x:v>
      </x:c>
      <x:c r="E24" s="30" t="n">
        <x:v>1</x:v>
      </x:c>
      <x:c r="F24" s="30" t="n">
        <x:v>1</x:v>
      </x:c>
      <x:c r="G24" s="30" t="n">
        <x:v>1</x:v>
      </x:c>
      <x:c r="H24" s="30" t="n">
        <x:v>1</x:v>
      </x:c>
      <x:c r="I24" s="30" t="n">
        <x:v>1</x:v>
      </x:c>
      <x:c r="J24" s="30" t="n">
        <x:v>1</x:v>
      </x:c>
      <x:c r="K24" s="30" t="n">
        <x:v>1</x:v>
      </x:c>
      <x:c r="L24" s="30" t="n">
        <x:v>1</x:v>
      </x:c>
      <x:c r="M24" s="30" t="n">
        <x:v>1</x:v>
      </x:c>
      <x:c r="N24" s="22"/>
      <x:c r="O24" s="44"/>
      <x:c r="P24" s="22"/>
      <x:c r="Q24" s="22"/>
      <x:c r="R24" s="22"/>
      <x:c r="S24" s="22"/>
      <x:c r="T24" s="22"/>
      <x:c r="U24" s="22"/>
      <x:c r="V24" s="22"/>
      <x:c r="W24" s="22"/>
      <x:c r="X24" s="22"/>
      <x:c r="Y24" s="22"/>
      <x:c r="Z24" s="22"/>
      <x:c r="AA24" s="22"/>
      <x:c r="AB24" s="22"/>
      <x:c r="AC24" s="22"/>
      <x:c r="AD24" s="22"/>
      <x:c r="AE24" s="22"/>
      <x:c r="AF24" s="22"/>
    </x:row>
    <x:row r="25" ht="22" customHeight="1">
      <x:c r="A25" s="22"/>
      <x:c r="B25" s="23" t="str">
        <x:v>02-05 Monitor·통신 상태 화면</x:v>
      </x:c>
      <x:c r="C25" s="23" t="str">
        <x:v>PLC/CIM/Vision/Stage/Scanner/Laser/Optics 연결, 값, Timeout, 재연결 상태를 1초급으로 표시한다.</x:v>
      </x:c>
      <x:c r="D25" s="24" t="str">
        <x:v>계획</x:v>
      </x:c>
      <x:c r="E25" s="22"/>
      <x:c r="F25" s="27" t="n">
        <x:v>1</x:v>
      </x:c>
      <x:c r="G25" s="27" t="n">
        <x:v>1</x:v>
      </x:c>
      <x:c r="H25" s="27" t="n">
        <x:v>1</x:v>
      </x:c>
      <x:c r="I25" s="27" t="n">
        <x:v>1</x:v>
      </x:c>
      <x:c r="J25" s="27" t="n">
        <x:v>1</x:v>
      </x:c>
      <x:c r="K25" s="27" t="n">
        <x:v>1</x:v>
      </x:c>
      <x:c r="L25" s="27" t="n">
        <x:v>1</x:v>
      </x:c>
      <x:c r="M25" s="27" t="n">
        <x:v>1</x:v>
      </x:c>
      <x:c r="N25" s="27" t="n">
        <x:v>1</x:v>
      </x:c>
      <x:c r="O25" s="45" t="n">
        <x:v>1</x:v>
      </x:c>
      <x:c r="P25" s="27" t="n">
        <x:v>1</x:v>
      </x:c>
      <x:c r="Q25" s="27" t="n">
        <x:v>1</x:v>
      </x:c>
      <x:c r="R25" s="27" t="n">
        <x:v>1</x:v>
      </x:c>
      <x:c r="S25" s="27" t="n">
        <x:v>1</x:v>
      </x:c>
      <x:c r="T25" s="27" t="n">
        <x:v>1</x:v>
      </x:c>
      <x:c r="U25" s="22"/>
      <x:c r="V25" s="22"/>
      <x:c r="W25" s="22"/>
      <x:c r="X25" s="22"/>
      <x:c r="Y25" s="22"/>
      <x:c r="Z25" s="22"/>
      <x:c r="AA25" s="22"/>
      <x:c r="AB25" s="22"/>
      <x:c r="AC25" s="22"/>
      <x:c r="AD25" s="22"/>
      <x:c r="AE25" s="22"/>
      <x:c r="AF25" s="22"/>
    </x:row>
    <x:row r="26" ht="22" customHeight="1">
      <x:c r="A26" s="22"/>
      <x:c r="B26" s="23"/>
      <x:c r="C26" s="23"/>
      <x:c r="D26" s="24" t="str">
        <x:v>실적</x:v>
      </x:c>
      <x:c r="E26" s="22"/>
      <x:c r="F26" s="30" t="n">
        <x:v>1</x:v>
      </x:c>
      <x:c r="G26" s="30" t="n">
        <x:v>1</x:v>
      </x:c>
      <x:c r="H26" s="30" t="n">
        <x:v>1</x:v>
      </x:c>
      <x:c r="I26" s="30" t="n">
        <x:v>1</x:v>
      </x:c>
      <x:c r="J26" s="30" t="n">
        <x:v>1</x:v>
      </x:c>
      <x:c r="K26" s="30" t="n">
        <x:v>1</x:v>
      </x:c>
      <x:c r="L26" s="30" t="n">
        <x:v>1</x:v>
      </x:c>
      <x:c r="M26" s="30" t="n">
        <x:v>1</x:v>
      </x:c>
      <x:c r="N26" s="22"/>
      <x:c r="O26" s="44"/>
      <x:c r="P26" s="22"/>
      <x:c r="Q26" s="22"/>
      <x:c r="R26" s="22"/>
      <x:c r="S26" s="22"/>
      <x:c r="T26" s="22"/>
      <x:c r="U26" s="22"/>
      <x:c r="V26" s="22"/>
      <x:c r="W26" s="22"/>
      <x:c r="X26" s="22"/>
      <x:c r="Y26" s="22"/>
      <x:c r="Z26" s="22"/>
      <x:c r="AA26" s="22"/>
      <x:c r="AB26" s="22"/>
      <x:c r="AC26" s="22"/>
      <x:c r="AD26" s="22"/>
      <x:c r="AE26" s="22"/>
      <x:c r="AF26" s="22"/>
    </x:row>
    <x:row r="27" ht="22" customHeight="1">
      <x:c r="A27" s="22"/>
      <x:c r="B27" s="23" t="str">
        <x:v>02-06 Optics·Power·Correction 화면</x:v>
      </x:c>
      <x:c r="C27" s="23" t="str">
        <x:v>Laser/ATT/BET/Power/DOE/보호윈도우/APC/ICR 설정·상태·적용이력을 화면에서 관리한다.</x:v>
      </x:c>
      <x:c r="D27" s="24" t="str">
        <x:v>계획</x:v>
      </x:c>
      <x:c r="E27" s="22"/>
      <x:c r="F27" s="22"/>
      <x:c r="G27" s="27" t="n">
        <x:v>1</x:v>
      </x:c>
      <x:c r="H27" s="27" t="n">
        <x:v>1</x:v>
      </x:c>
      <x:c r="I27" s="27" t="n">
        <x:v>1</x:v>
      </x:c>
      <x:c r="J27" s="27" t="n">
        <x:v>1</x:v>
      </x:c>
      <x:c r="K27" s="27" t="n">
        <x:v>1</x:v>
      </x:c>
      <x:c r="L27" s="27" t="n">
        <x:v>1</x:v>
      </x:c>
      <x:c r="M27" s="27" t="n">
        <x:v>1</x:v>
      </x:c>
      <x:c r="N27" s="27" t="n">
        <x:v>1</x:v>
      </x:c>
      <x:c r="O27" s="45" t="n">
        <x:v>1</x:v>
      </x:c>
      <x:c r="P27" s="27" t="n">
        <x:v>1</x:v>
      </x:c>
      <x:c r="Q27" s="27" t="n">
        <x:v>1</x:v>
      </x:c>
      <x:c r="R27" s="27" t="n">
        <x:v>1</x:v>
      </x:c>
      <x:c r="S27" s="27" t="n">
        <x:v>1</x:v>
      </x:c>
      <x:c r="T27" s="27" t="n">
        <x:v>1</x:v>
      </x:c>
      <x:c r="U27" s="27" t="n">
        <x:v>1</x:v>
      </x:c>
      <x:c r="V27" s="27" t="n">
        <x:v>1</x:v>
      </x:c>
      <x:c r="W27" s="27" t="n">
        <x:v>1</x:v>
      </x:c>
      <x:c r="X27" s="22"/>
      <x:c r="Y27" s="22"/>
      <x:c r="Z27" s="22"/>
      <x:c r="AA27" s="22"/>
      <x:c r="AB27" s="22"/>
      <x:c r="AC27" s="22"/>
      <x:c r="AD27" s="22"/>
      <x:c r="AE27" s="22"/>
      <x:c r="AF27" s="22"/>
    </x:row>
    <x:row r="28" ht="22" customHeight="1">
      <x:c r="A28" s="35"/>
      <x:c r="B28" s="36"/>
      <x:c r="C28" s="36"/>
      <x:c r="D28" s="37" t="str">
        <x:v>실적</x:v>
      </x:c>
      <x:c r="E28" s="35"/>
      <x:c r="F28" s="35"/>
      <x:c r="G28" s="38" t="n">
        <x:v>1</x:v>
      </x:c>
      <x:c r="H28" s="38" t="n">
        <x:v>1</x:v>
      </x:c>
      <x:c r="I28" s="38" t="n">
        <x:v>1</x:v>
      </x:c>
      <x:c r="J28" s="38" t="n">
        <x:v>1</x:v>
      </x:c>
      <x:c r="K28" s="38" t="n">
        <x:v>1</x:v>
      </x:c>
      <x:c r="L28" s="38" t="n">
        <x:v>1</x:v>
      </x:c>
      <x:c r="M28" s="38" t="n">
        <x:v>1</x:v>
      </x:c>
      <x:c r="N28" s="35"/>
      <x:c r="O28" s="46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/>
      <x:c r="AA28" s="35"/>
      <x:c r="AB28" s="35"/>
      <x:c r="AC28" s="35"/>
      <x:c r="AD28" s="35"/>
      <x:c r="AE28" s="35"/>
      <x:c r="AF28" s="35"/>
    </x:row>
    <x:row r="29" ht="22" customHeight="1">
      <x:c r="A29" s="41" t="str">
        <x:v>03
통신 및 인터페이스</x:v>
      </x:c>
      <x:c r="B29" s="32" t="str">
        <x:v>03-01 PLC/Melsec Driver·Map</x:v>
      </x:c>
      <x:c r="C29" s="32" t="str">
        <x:v>Read/Write/Readback, Timeout/Retry/Reconnect, Device Map 버전과 Alarm을 통합·검증한다.</x:v>
      </x:c>
      <x:c r="D29" s="33" t="str">
        <x:v>계획</x:v>
      </x:c>
      <x:c r="E29" s="34" t="n">
        <x:v>1</x:v>
      </x:c>
      <x:c r="F29" s="34" t="n">
        <x:v>1</x:v>
      </x:c>
      <x:c r="G29" s="34" t="n">
        <x:v>1</x:v>
      </x:c>
      <x:c r="H29" s="34" t="n">
        <x:v>1</x:v>
      </x:c>
      <x:c r="I29" s="34" t="n">
        <x:v>1</x:v>
      </x:c>
      <x:c r="J29" s="34" t="n">
        <x:v>1</x:v>
      </x:c>
      <x:c r="K29" s="34" t="n">
        <x:v>1</x:v>
      </x:c>
      <x:c r="L29" s="34" t="n">
        <x:v>1</x:v>
      </x:c>
      <x:c r="M29" s="34" t="n">
        <x:v>1</x:v>
      </x:c>
      <x:c r="N29" s="34" t="n">
        <x:v>1</x:v>
      </x:c>
      <x:c r="O29" s="43" t="n">
        <x:v>1</x:v>
      </x:c>
      <x:c r="P29" s="34" t="n">
        <x:v>1</x:v>
      </x:c>
      <x:c r="Q29" s="34" t="n">
        <x:v>1</x:v>
      </x:c>
      <x:c r="R29" s="31"/>
      <x:c r="S29" s="31"/>
      <x:c r="T29" s="31"/>
      <x:c r="U29" s="31"/>
      <x:c r="V29" s="31"/>
      <x:c r="W29" s="31"/>
      <x:c r="X29" s="31"/>
      <x:c r="Y29" s="31"/>
      <x:c r="Z29" s="31"/>
      <x:c r="AA29" s="31"/>
      <x:c r="AB29" s="31"/>
      <x:c r="AC29" s="31"/>
      <x:c r="AD29" s="31"/>
      <x:c r="AE29" s="31"/>
      <x:c r="AF29" s="31"/>
    </x:row>
    <x:row r="30" ht="22" customHeight="1">
      <x:c r="A30" s="22"/>
      <x:c r="B30" s="23"/>
      <x:c r="C30" s="23"/>
      <x:c r="D30" s="24" t="str">
        <x:v>실적</x:v>
      </x:c>
      <x:c r="E30" s="30" t="n">
        <x:v>1</x:v>
      </x:c>
      <x:c r="F30" s="30" t="n">
        <x:v>1</x:v>
      </x:c>
      <x:c r="G30" s="30" t="n">
        <x:v>1</x:v>
      </x:c>
      <x:c r="H30" s="30" t="n">
        <x:v>1</x:v>
      </x:c>
      <x:c r="I30" s="30" t="n">
        <x:v>1</x:v>
      </x:c>
      <x:c r="J30" s="30" t="n">
        <x:v>1</x:v>
      </x:c>
      <x:c r="K30" s="30" t="n">
        <x:v>1</x:v>
      </x:c>
      <x:c r="L30" s="30" t="n">
        <x:v>1</x:v>
      </x:c>
      <x:c r="M30" s="22"/>
      <x:c r="N30" s="22"/>
      <x:c r="O30" s="44"/>
      <x:c r="P30" s="22"/>
      <x:c r="Q30" s="22"/>
      <x:c r="R30" s="22"/>
      <x:c r="S30" s="22"/>
      <x:c r="T30" s="22"/>
      <x:c r="U30" s="22"/>
      <x:c r="V30" s="22"/>
      <x:c r="W30" s="22"/>
      <x:c r="X30" s="22"/>
      <x:c r="Y30" s="22"/>
      <x:c r="Z30" s="22"/>
      <x:c r="AA30" s="22"/>
      <x:c r="AB30" s="22"/>
      <x:c r="AC30" s="22"/>
      <x:c r="AD30" s="22"/>
      <x:c r="AE30" s="22"/>
      <x:c r="AF30" s="22"/>
    </x:row>
    <x:row r="31" ht="22" customHeight="1">
      <x:c r="A31" s="22"/>
      <x:c r="B31" s="23" t="str">
        <x:v>03-02 CIM 통신·Handshake</x:v>
      </x:c>
      <x:c r="C31" s="23" t="str">
        <x:v>CIM 연결, PPID/Job 요청, 보고, 결과응답, Timeout·재전송·중복방지를 신규 구현한다.</x:v>
      </x:c>
      <x:c r="D31" s="24" t="str">
        <x:v>계획</x:v>
      </x:c>
      <x:c r="E31" s="22"/>
      <x:c r="F31" s="22"/>
      <x:c r="G31" s="22"/>
      <x:c r="H31" s="22"/>
      <x:c r="I31" s="22"/>
      <x:c r="J31" s="22"/>
      <x:c r="K31" s="22"/>
      <x:c r="L31" s="22"/>
      <x:c r="M31" s="27" t="n">
        <x:v>1</x:v>
      </x:c>
      <x:c r="N31" s="27" t="n">
        <x:v>1</x:v>
      </x:c>
      <x:c r="O31" s="45" t="n">
        <x:v>1</x:v>
      </x:c>
      <x:c r="P31" s="27" t="n">
        <x:v>1</x:v>
      </x:c>
      <x:c r="Q31" s="27" t="n">
        <x:v>1</x:v>
      </x:c>
      <x:c r="R31" s="27" t="n">
        <x:v>1</x:v>
      </x:c>
      <x:c r="S31" s="27" t="n">
        <x:v>1</x:v>
      </x:c>
      <x:c r="T31" s="27" t="n">
        <x:v>1</x:v>
      </x:c>
      <x:c r="U31" s="27" t="n">
        <x:v>1</x:v>
      </x:c>
      <x:c r="V31" s="27" t="n">
        <x:v>1</x:v>
      </x:c>
      <x:c r="W31" s="27" t="n">
        <x:v>1</x:v>
      </x:c>
      <x:c r="X31" s="27" t="n">
        <x:v>1</x:v>
      </x:c>
      <x:c r="Y31" s="22"/>
      <x:c r="Z31" s="22"/>
      <x:c r="AA31" s="22"/>
      <x:c r="AB31" s="22"/>
      <x:c r="AC31" s="22"/>
      <x:c r="AD31" s="22"/>
      <x:c r="AE31" s="22"/>
      <x:c r="AF31" s="22"/>
    </x:row>
    <x:row r="32" ht="22" customHeight="1">
      <x:c r="A32" s="22"/>
      <x:c r="B32" s="23"/>
      <x:c r="C32" s="23"/>
      <x:c r="D32" s="24" t="str">
        <x:v>실적</x:v>
      </x:c>
      <x:c r="E32" s="22"/>
      <x:c r="F32" s="22"/>
      <x:c r="G32" s="22"/>
      <x:c r="H32" s="22"/>
      <x:c r="I32" s="22"/>
      <x:c r="J32" s="22"/>
      <x:c r="K32" s="22"/>
      <x:c r="L32" s="22"/>
      <x:c r="M32" s="30" t="n">
        <x:v>1</x:v>
      </x:c>
      <x:c r="N32" s="22"/>
      <x:c r="O32" s="44"/>
      <x:c r="P32" s="22"/>
      <x:c r="Q32" s="22"/>
      <x:c r="R32" s="22"/>
      <x:c r="S32" s="22"/>
      <x:c r="T32" s="22"/>
      <x:c r="U32" s="22"/>
      <x:c r="V32" s="22"/>
      <x:c r="W32" s="22"/>
      <x:c r="X32" s="22"/>
      <x:c r="Y32" s="22"/>
      <x:c r="Z32" s="22"/>
      <x:c r="AA32" s="22"/>
      <x:c r="AB32" s="22"/>
      <x:c r="AC32" s="22"/>
      <x:c r="AD32" s="22"/>
      <x:c r="AE32" s="22"/>
      <x:c r="AF32" s="22"/>
    </x:row>
    <x:row r="33" ht="22" customHeight="1">
      <x:c r="A33" s="22"/>
      <x:c r="B33" s="23" t="str">
        <x:v>03-03 Vision 통신</x:v>
      </x:c>
      <x:c r="C33" s="23" t="str">
        <x:v>Align/Review 명령, 좌표·측정결과, Busy/Done/Error, Timeout/재연결을 검증한다.</x:v>
      </x:c>
      <x:c r="D33" s="24" t="str">
        <x:v>계획</x:v>
      </x:c>
      <x:c r="E33" s="22"/>
      <x:c r="F33" s="22"/>
      <x:c r="G33" s="22"/>
      <x:c r="H33" s="27" t="n">
        <x:v>1</x:v>
      </x:c>
      <x:c r="I33" s="27" t="n">
        <x:v>1</x:v>
      </x:c>
      <x:c r="J33" s="27" t="n">
        <x:v>1</x:v>
      </x:c>
      <x:c r="K33" s="27" t="n">
        <x:v>1</x:v>
      </x:c>
      <x:c r="L33" s="27" t="n">
        <x:v>1</x:v>
      </x:c>
      <x:c r="M33" s="27" t="n">
        <x:v>1</x:v>
      </x:c>
      <x:c r="N33" s="27" t="n">
        <x:v>1</x:v>
      </x:c>
      <x:c r="O33" s="45" t="n">
        <x:v>1</x:v>
      </x:c>
      <x:c r="P33" s="27" t="n">
        <x:v>1</x:v>
      </x:c>
      <x:c r="Q33" s="27" t="n">
        <x:v>1</x:v>
      </x:c>
      <x:c r="R33" s="27" t="n">
        <x:v>1</x:v>
      </x:c>
      <x:c r="S33" s="27" t="n">
        <x:v>1</x:v>
      </x:c>
      <x:c r="T33" s="27" t="n">
        <x:v>1</x:v>
      </x:c>
      <x:c r="U33" s="27" t="n">
        <x:v>1</x:v>
      </x:c>
      <x:c r="V33" s="27" t="n">
        <x:v>1</x:v>
      </x:c>
      <x:c r="W33" s="22"/>
      <x:c r="X33" s="22"/>
      <x:c r="Y33" s="22"/>
      <x:c r="Z33" s="22"/>
      <x:c r="AA33" s="22"/>
      <x:c r="AB33" s="22"/>
      <x:c r="AC33" s="22"/>
      <x:c r="AD33" s="22"/>
      <x:c r="AE33" s="22"/>
      <x:c r="AF33" s="22"/>
    </x:row>
    <x:row r="34" ht="22" customHeight="1">
      <x:c r="A34" s="22"/>
      <x:c r="B34" s="23"/>
      <x:c r="C34" s="23"/>
      <x:c r="D34" s="24" t="str">
        <x:v>실적</x:v>
      </x:c>
      <x:c r="E34" s="22"/>
      <x:c r="F34" s="22"/>
      <x:c r="G34" s="22"/>
      <x:c r="H34" s="30" t="n">
        <x:v>1</x:v>
      </x:c>
      <x:c r="I34" s="30" t="n">
        <x:v>1</x:v>
      </x:c>
      <x:c r="J34" s="30" t="n">
        <x:v>1</x:v>
      </x:c>
      <x:c r="K34" s="30" t="n">
        <x:v>1</x:v>
      </x:c>
      <x:c r="L34" s="30" t="n">
        <x:v>1</x:v>
      </x:c>
      <x:c r="M34" s="30" t="n">
        <x:v>1</x:v>
      </x:c>
      <x:c r="N34" s="22"/>
      <x:c r="O34" s="44"/>
      <x:c r="P34" s="22"/>
      <x:c r="Q34" s="22"/>
      <x:c r="R34" s="22"/>
      <x:c r="S34" s="22"/>
      <x:c r="T34" s="22"/>
      <x:c r="U34" s="22"/>
      <x:c r="V34" s="22"/>
      <x:c r="W34" s="22"/>
      <x:c r="X34" s="22"/>
      <x:c r="Y34" s="22"/>
      <x:c r="Z34" s="22"/>
      <x:c r="AA34" s="22"/>
      <x:c r="AB34" s="22"/>
      <x:c r="AC34" s="22"/>
      <x:c r="AD34" s="22"/>
      <x:c r="AE34" s="22"/>
      <x:c r="AF34" s="22"/>
    </x:row>
    <x:row r="35" ht="22" customHeight="1">
      <x:c r="A35" s="22"/>
      <x:c r="B35" s="23" t="str">
        <x:v>03-04 Stage/ACS·XPS 통신</x:v>
      </x:c>
      <x:c r="C35" s="23" t="str">
        <x:v>Stage/Review/Optics Axis 명령, 상태, Home/Limit/Fault, 제어권 경계를 검증한다.</x:v>
      </x:c>
      <x:c r="D35" s="24" t="str">
        <x:v>계획</x:v>
      </x:c>
      <x:c r="E35" s="22"/>
      <x:c r="F35" s="22"/>
      <x:c r="G35" s="27" t="n">
        <x:v>1</x:v>
      </x:c>
      <x:c r="H35" s="27" t="n">
        <x:v>1</x:v>
      </x:c>
      <x:c r="I35" s="27" t="n">
        <x:v>1</x:v>
      </x:c>
      <x:c r="J35" s="27" t="n">
        <x:v>1</x:v>
      </x:c>
      <x:c r="K35" s="27" t="n">
        <x:v>1</x:v>
      </x:c>
      <x:c r="L35" s="27" t="n">
        <x:v>1</x:v>
      </x:c>
      <x:c r="M35" s="27" t="n">
        <x:v>1</x:v>
      </x:c>
      <x:c r="N35" s="27" t="n">
        <x:v>1</x:v>
      </x:c>
      <x:c r="O35" s="45" t="n">
        <x:v>1</x:v>
      </x:c>
      <x:c r="P35" s="27" t="n">
        <x:v>1</x:v>
      </x:c>
      <x:c r="Q35" s="27" t="n">
        <x:v>1</x:v>
      </x:c>
      <x:c r="R35" s="27" t="n">
        <x:v>1</x:v>
      </x:c>
      <x:c r="S35" s="27" t="n">
        <x:v>1</x:v>
      </x:c>
      <x:c r="T35" s="27" t="n">
        <x:v>1</x:v>
      </x:c>
      <x:c r="U35" s="27" t="n">
        <x:v>1</x:v>
      </x:c>
      <x:c r="V35" s="27" t="n">
        <x:v>1</x:v>
      </x:c>
      <x:c r="W35" s="22"/>
      <x:c r="X35" s="22"/>
      <x:c r="Y35" s="22"/>
      <x:c r="Z35" s="22"/>
      <x:c r="AA35" s="22"/>
      <x:c r="AB35" s="22"/>
      <x:c r="AC35" s="22"/>
      <x:c r="AD35" s="22"/>
      <x:c r="AE35" s="22"/>
      <x:c r="AF35" s="22"/>
    </x:row>
    <x:row r="36" ht="22" customHeight="1">
      <x:c r="A36" s="22"/>
      <x:c r="B36" s="23"/>
      <x:c r="C36" s="23"/>
      <x:c r="D36" s="24" t="str">
        <x:v>실적</x:v>
      </x:c>
      <x:c r="E36" s="22"/>
      <x:c r="F36" s="22"/>
      <x:c r="G36" s="30" t="n">
        <x:v>1</x:v>
      </x:c>
      <x:c r="H36" s="30" t="n">
        <x:v>1</x:v>
      </x:c>
      <x:c r="I36" s="30" t="n">
        <x:v>1</x:v>
      </x:c>
      <x:c r="J36" s="30" t="n">
        <x:v>1</x:v>
      </x:c>
      <x:c r="K36" s="30" t="n">
        <x:v>1</x:v>
      </x:c>
      <x:c r="L36" s="30" t="n">
        <x:v>1</x:v>
      </x:c>
      <x:c r="M36" s="30" t="n">
        <x:v>1</x:v>
      </x:c>
      <x:c r="N36" s="22"/>
      <x:c r="O36" s="44"/>
      <x:c r="P36" s="22"/>
      <x:c r="Q36" s="22"/>
      <x:c r="R36" s="22"/>
      <x:c r="S36" s="22"/>
      <x:c r="T36" s="22"/>
      <x:c r="U36" s="22"/>
      <x:c r="V36" s="22"/>
      <x:c r="W36" s="22"/>
      <x:c r="X36" s="22"/>
      <x:c r="Y36" s="22"/>
      <x:c r="Z36" s="22"/>
      <x:c r="AA36" s="22"/>
      <x:c r="AB36" s="22"/>
      <x:c r="AC36" s="22"/>
      <x:c r="AD36" s="22"/>
      <x:c r="AE36" s="22"/>
      <x:c r="AF36" s="22"/>
    </x:row>
    <x:row r="37" ht="22" customHeight="1">
      <x:c r="A37" s="22"/>
      <x:c r="B37" s="23" t="str">
        <x:v>03-05 Scanner/Aerotech GL4 통신</x:v>
      </x:c>
      <x:c r="C37" s="23" t="str">
        <x:v>8 Head Task/Script Load·Run·Stop·상태·Fault·재연결과 동기 제어를 검증한다.</x:v>
      </x:c>
      <x:c r="D37" s="24" t="str">
        <x:v>계획</x:v>
      </x:c>
      <x:c r="E37" s="22"/>
      <x:c r="F37" s="27" t="n">
        <x:v>1</x:v>
      </x:c>
      <x:c r="G37" s="27" t="n">
        <x:v>1</x:v>
      </x:c>
      <x:c r="H37" s="27" t="n">
        <x:v>1</x:v>
      </x:c>
      <x:c r="I37" s="27" t="n">
        <x:v>1</x:v>
      </x:c>
      <x:c r="J37" s="27" t="n">
        <x:v>1</x:v>
      </x:c>
      <x:c r="K37" s="27" t="n">
        <x:v>1</x:v>
      </x:c>
      <x:c r="L37" s="27" t="n">
        <x:v>1</x:v>
      </x:c>
      <x:c r="M37" s="27" t="n">
        <x:v>1</x:v>
      </x:c>
      <x:c r="N37" s="27" t="n">
        <x:v>1</x:v>
      </x:c>
      <x:c r="O37" s="45" t="n">
        <x:v>1</x:v>
      </x:c>
      <x:c r="P37" s="27" t="n">
        <x:v>1</x:v>
      </x:c>
      <x:c r="Q37" s="27" t="n">
        <x:v>1</x:v>
      </x:c>
      <x:c r="R37" s="27" t="n">
        <x:v>1</x:v>
      </x:c>
      <x:c r="S37" s="27" t="n">
        <x:v>1</x:v>
      </x:c>
      <x:c r="T37" s="27" t="n">
        <x:v>1</x:v>
      </x:c>
      <x:c r="U37" s="27" t="n">
        <x:v>1</x:v>
      </x:c>
      <x:c r="V37" s="27" t="n">
        <x:v>1</x:v>
      </x:c>
      <x:c r="W37" s="27" t="n">
        <x:v>1</x:v>
      </x:c>
      <x:c r="X37" s="27" t="n">
        <x:v>1</x:v>
      </x:c>
      <x:c r="Y37" s="22"/>
      <x:c r="Z37" s="22"/>
      <x:c r="AA37" s="22"/>
      <x:c r="AB37" s="22"/>
      <x:c r="AC37" s="22"/>
      <x:c r="AD37" s="22"/>
      <x:c r="AE37" s="22"/>
      <x:c r="AF37" s="22"/>
    </x:row>
    <x:row r="38" ht="22" customHeight="1">
      <x:c r="A38" s="22"/>
      <x:c r="B38" s="23"/>
      <x:c r="C38" s="23"/>
      <x:c r="D38" s="24" t="str">
        <x:v>실적</x:v>
      </x:c>
      <x:c r="E38" s="22"/>
      <x:c r="F38" s="30" t="n">
        <x:v>1</x:v>
      </x:c>
      <x:c r="G38" s="30" t="n">
        <x:v>1</x:v>
      </x:c>
      <x:c r="H38" s="30" t="n">
        <x:v>1</x:v>
      </x:c>
      <x:c r="I38" s="30" t="n">
        <x:v>1</x:v>
      </x:c>
      <x:c r="J38" s="30" t="n">
        <x:v>1</x:v>
      </x:c>
      <x:c r="K38" s="30" t="n">
        <x:v>1</x:v>
      </x:c>
      <x:c r="L38" s="30" t="n">
        <x:v>1</x:v>
      </x:c>
      <x:c r="M38" s="30" t="n">
        <x:v>1</x:v>
      </x:c>
      <x:c r="N38" s="30" t="n">
        <x:v>1</x:v>
      </x:c>
      <x:c r="O38" s="44"/>
      <x:c r="P38" s="22"/>
      <x:c r="Q38" s="22"/>
      <x:c r="R38" s="22"/>
      <x:c r="S38" s="22"/>
      <x:c r="T38" s="22"/>
      <x:c r="U38" s="22"/>
      <x:c r="V38" s="22"/>
      <x:c r="W38" s="22"/>
      <x:c r="X38" s="22"/>
      <x:c r="Y38" s="22"/>
      <x:c r="Z38" s="22"/>
      <x:c r="AA38" s="22"/>
      <x:c r="AB38" s="22"/>
      <x:c r="AC38" s="22"/>
      <x:c r="AD38" s="22"/>
      <x:c r="AE38" s="22"/>
      <x:c r="AF38" s="22"/>
    </x:row>
    <x:row r="39" ht="22" customHeight="1">
      <x:c r="A39" s="22"/>
      <x:c r="B39" s="23" t="str">
        <x:v>03-06 Laser·Optics 계측 통신</x:v>
      </x:c>
      <x:c r="C39" s="23" t="str">
        <x:v>Talon, Chiller, ATT, BET, PowerMeter, Pico, DOE Z 명령·응답·Alarm을 실장비로 검증한다.</x:v>
      </x:c>
      <x:c r="D39" s="24" t="str">
        <x:v>계획</x:v>
      </x:c>
      <x:c r="E39" s="22"/>
      <x:c r="F39" s="27" t="n">
        <x:v>1</x:v>
      </x:c>
      <x:c r="G39" s="27" t="n">
        <x:v>1</x:v>
      </x:c>
      <x:c r="H39" s="27" t="n">
        <x:v>1</x:v>
      </x:c>
      <x:c r="I39" s="27" t="n">
        <x:v>1</x:v>
      </x:c>
      <x:c r="J39" s="27" t="n">
        <x:v>1</x:v>
      </x:c>
      <x:c r="K39" s="27" t="n">
        <x:v>1</x:v>
      </x:c>
      <x:c r="L39" s="27" t="n">
        <x:v>1</x:v>
      </x:c>
      <x:c r="M39" s="27" t="n">
        <x:v>1</x:v>
      </x:c>
      <x:c r="N39" s="27" t="n">
        <x:v>1</x:v>
      </x:c>
      <x:c r="O39" s="45" t="n">
        <x:v>1</x:v>
      </x:c>
      <x:c r="P39" s="27" t="n">
        <x:v>1</x:v>
      </x:c>
      <x:c r="Q39" s="27" t="n">
        <x:v>1</x:v>
      </x:c>
      <x:c r="R39" s="27" t="n">
        <x:v>1</x:v>
      </x:c>
      <x:c r="S39" s="27" t="n">
        <x:v>1</x:v>
      </x:c>
      <x:c r="T39" s="27" t="n">
        <x:v>1</x:v>
      </x:c>
      <x:c r="U39" s="27" t="n">
        <x:v>1</x:v>
      </x:c>
      <x:c r="V39" s="27" t="n">
        <x:v>1</x:v>
      </x:c>
      <x:c r="W39" s="27" t="n">
        <x:v>1</x:v>
      </x:c>
      <x:c r="X39" s="27" t="n">
        <x:v>1</x:v>
      </x:c>
      <x:c r="Y39" s="27" t="n">
        <x:v>1</x:v>
      </x:c>
      <x:c r="Z39" s="22"/>
      <x:c r="AA39" s="22"/>
      <x:c r="AB39" s="22"/>
      <x:c r="AC39" s="22"/>
      <x:c r="AD39" s="22"/>
      <x:c r="AE39" s="22"/>
      <x:c r="AF39" s="22"/>
    </x:row>
    <x:row r="40" ht="22" customHeight="1">
      <x:c r="A40" s="22"/>
      <x:c r="B40" s="23"/>
      <x:c r="C40" s="23"/>
      <x:c r="D40" s="24" t="str">
        <x:v>실적</x:v>
      </x:c>
      <x:c r="E40" s="22"/>
      <x:c r="F40" s="30" t="n">
        <x:v>1</x:v>
      </x:c>
      <x:c r="G40" s="30" t="n">
        <x:v>1</x:v>
      </x:c>
      <x:c r="H40" s="30" t="n">
        <x:v>1</x:v>
      </x:c>
      <x:c r="I40" s="30" t="n">
        <x:v>1</x:v>
      </x:c>
      <x:c r="J40" s="30" t="n">
        <x:v>1</x:v>
      </x:c>
      <x:c r="K40" s="30" t="n">
        <x:v>1</x:v>
      </x:c>
      <x:c r="L40" s="30" t="n">
        <x:v>1</x:v>
      </x:c>
      <x:c r="M40" s="30" t="n">
        <x:v>1</x:v>
      </x:c>
      <x:c r="N40" s="22"/>
      <x:c r="O40" s="44"/>
      <x:c r="P40" s="22"/>
      <x:c r="Q40" s="22"/>
      <x:c r="R40" s="22"/>
      <x:c r="S40" s="22"/>
      <x:c r="T40" s="22"/>
      <x:c r="U40" s="22"/>
      <x:c r="V40" s="22"/>
      <x:c r="W40" s="22"/>
      <x:c r="X40" s="22"/>
      <x:c r="Y40" s="22"/>
      <x:c r="Z40" s="22"/>
      <x:c r="AA40" s="22"/>
      <x:c r="AB40" s="22"/>
      <x:c r="AC40" s="22"/>
      <x:c r="AD40" s="22"/>
      <x:c r="AE40" s="22"/>
      <x:c r="AF40" s="22"/>
    </x:row>
    <x:row r="41" ht="22" customHeight="1">
      <x:c r="A41" s="22"/>
      <x:c r="B41" s="23" t="str">
        <x:v>03-07 공통 Timeout·재연결 정책</x:v>
      </x:c>
      <x:c r="C41" s="23" t="str">
        <x:v>명령별 Timeout, Retry/Backoff, 재접속, idempotency, Log/Alarm/Recovery 기준을 승인·적용한다.</x:v>
      </x:c>
      <x:c r="D41" s="24" t="str">
        <x:v>계획</x:v>
      </x:c>
      <x:c r="E41" s="22"/>
      <x:c r="F41" s="22"/>
      <x:c r="G41" s="22"/>
      <x:c r="H41" s="22"/>
      <x:c r="I41" s="27" t="n">
        <x:v>1</x:v>
      </x:c>
      <x:c r="J41" s="27" t="n">
        <x:v>1</x:v>
      </x:c>
      <x:c r="K41" s="27" t="n">
        <x:v>1</x:v>
      </x:c>
      <x:c r="L41" s="27" t="n">
        <x:v>1</x:v>
      </x:c>
      <x:c r="M41" s="27" t="n">
        <x:v>1</x:v>
      </x:c>
      <x:c r="N41" s="27" t="n">
        <x:v>1</x:v>
      </x:c>
      <x:c r="O41" s="45" t="n">
        <x:v>1</x:v>
      </x:c>
      <x:c r="P41" s="27" t="n">
        <x:v>1</x:v>
      </x:c>
      <x:c r="Q41" s="27" t="n">
        <x:v>1</x:v>
      </x:c>
      <x:c r="R41" s="27" t="n">
        <x:v>1</x:v>
      </x:c>
      <x:c r="S41" s="27" t="n">
        <x:v>1</x:v>
      </x:c>
      <x:c r="T41" s="27" t="n">
        <x:v>1</x:v>
      </x:c>
      <x:c r="U41" s="27" t="n">
        <x:v>1</x:v>
      </x:c>
      <x:c r="V41" s="22"/>
      <x:c r="W41" s="22"/>
      <x:c r="X41" s="22"/>
      <x:c r="Y41" s="22"/>
      <x:c r="Z41" s="22"/>
      <x:c r="AA41" s="22"/>
      <x:c r="AB41" s="22"/>
      <x:c r="AC41" s="22"/>
      <x:c r="AD41" s="22"/>
      <x:c r="AE41" s="22"/>
      <x:c r="AF41" s="22"/>
    </x:row>
    <x:row r="42" ht="22" customHeight="1">
      <x:c r="A42" s="35"/>
      <x:c r="B42" s="36"/>
      <x:c r="C42" s="36"/>
      <x:c r="D42" s="37" t="str">
        <x:v>실적</x:v>
      </x:c>
      <x:c r="E42" s="35"/>
      <x:c r="F42" s="35"/>
      <x:c r="G42" s="35"/>
      <x:c r="H42" s="35"/>
      <x:c r="I42" s="38" t="n">
        <x:v>1</x:v>
      </x:c>
      <x:c r="J42" s="38" t="n">
        <x:v>1</x:v>
      </x:c>
      <x:c r="K42" s="38" t="n">
        <x:v>1</x:v>
      </x:c>
      <x:c r="L42" s="38" t="n">
        <x:v>1</x:v>
      </x:c>
      <x:c r="M42" s="38" t="n">
        <x:v>1</x:v>
      </x:c>
      <x:c r="N42" s="35"/>
      <x:c r="O42" s="46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5"/>
      <x:c r="AA42" s="35"/>
      <x:c r="AB42" s="35"/>
      <x:c r="AC42" s="35"/>
      <x:c r="AD42" s="35"/>
      <x:c r="AE42" s="35"/>
      <x:c r="AF42" s="35"/>
    </x:row>
    <x:row r="43" ht="22" customHeight="1">
      <x:c r="A43" s="41" t="str">
        <x:v>04
Recipe/PPID/File/Data</x:v>
      </x:c>
      <x:c r="B43" s="32" t="str">
        <x:v>04-01 Recipe CRUD·검증</x:v>
      </x:c>
      <x:c r="C43" s="32" t="str">
        <x:v>Recipe 생성/편집/복사/삭제/선택, 범위/단위/필수값 검증과 원자적 저장·복구를 완성한다.</x:v>
      </x:c>
      <x:c r="D43" s="33" t="str">
        <x:v>계획</x:v>
      </x:c>
      <x:c r="E43" s="34" t="n">
        <x:v>1</x:v>
      </x:c>
      <x:c r="F43" s="34" t="n">
        <x:v>1</x:v>
      </x:c>
      <x:c r="G43" s="34" t="n">
        <x:v>1</x:v>
      </x:c>
      <x:c r="H43" s="34" t="n">
        <x:v>1</x:v>
      </x:c>
      <x:c r="I43" s="34" t="n">
        <x:v>1</x:v>
      </x:c>
      <x:c r="J43" s="34" t="n">
        <x:v>1</x:v>
      </x:c>
      <x:c r="K43" s="34" t="n">
        <x:v>1</x:v>
      </x:c>
      <x:c r="L43" s="34" t="n">
        <x:v>1</x:v>
      </x:c>
      <x:c r="M43" s="34" t="n">
        <x:v>1</x:v>
      </x:c>
      <x:c r="N43" s="34" t="n">
        <x:v>1</x:v>
      </x:c>
      <x:c r="O43" s="43" t="n">
        <x:v>1</x:v>
      </x:c>
      <x:c r="P43" s="34" t="n">
        <x:v>1</x:v>
      </x:c>
      <x:c r="Q43" s="34" t="n">
        <x:v>1</x:v>
      </x:c>
      <x:c r="R43" s="34" t="n">
        <x:v>1</x:v>
      </x:c>
      <x:c r="S43" s="34" t="n">
        <x:v>1</x:v>
      </x:c>
      <x:c r="T43" s="31"/>
      <x:c r="U43" s="31"/>
      <x:c r="V43" s="31"/>
      <x:c r="W43" s="31"/>
      <x:c r="X43" s="31"/>
      <x:c r="Y43" s="31"/>
      <x:c r="Z43" s="31"/>
      <x:c r="AA43" s="31"/>
      <x:c r="AB43" s="31"/>
      <x:c r="AC43" s="31"/>
      <x:c r="AD43" s="31"/>
      <x:c r="AE43" s="31"/>
      <x:c r="AF43" s="31"/>
    </x:row>
    <x:row r="44" ht="22" customHeight="1">
      <x:c r="A44" s="22"/>
      <x:c r="B44" s="23"/>
      <x:c r="C44" s="23"/>
      <x:c r="D44" s="24" t="str">
        <x:v>실적</x:v>
      </x:c>
      <x:c r="E44" s="30" t="n">
        <x:v>1</x:v>
      </x:c>
      <x:c r="F44" s="30" t="n">
        <x:v>1</x:v>
      </x:c>
      <x:c r="G44" s="30" t="n">
        <x:v>1</x:v>
      </x:c>
      <x:c r="H44" s="30" t="n">
        <x:v>1</x:v>
      </x:c>
      <x:c r="I44" s="30" t="n">
        <x:v>1</x:v>
      </x:c>
      <x:c r="J44" s="30" t="n">
        <x:v>1</x:v>
      </x:c>
      <x:c r="K44" s="30" t="n">
        <x:v>1</x:v>
      </x:c>
      <x:c r="L44" s="30" t="n">
        <x:v>1</x:v>
      </x:c>
      <x:c r="M44" s="30" t="n">
        <x:v>1</x:v>
      </x:c>
      <x:c r="N44" s="30" t="n">
        <x:v>1</x:v>
      </x:c>
      <x:c r="O44" s="44"/>
      <x:c r="P44" s="22"/>
      <x:c r="Q44" s="22"/>
      <x:c r="R44" s="22"/>
      <x:c r="S44" s="22"/>
      <x:c r="T44" s="22"/>
      <x:c r="U44" s="22"/>
      <x:c r="V44" s="22"/>
      <x:c r="W44" s="22"/>
      <x:c r="X44" s="22"/>
      <x:c r="Y44" s="22"/>
      <x:c r="Z44" s="22"/>
      <x:c r="AA44" s="22"/>
      <x:c r="AB44" s="22"/>
      <x:c r="AC44" s="22"/>
      <x:c r="AD44" s="22"/>
      <x:c r="AE44" s="22"/>
      <x:c r="AF44" s="22"/>
    </x:row>
    <x:row r="45" ht="22" customHeight="1">
      <x:c r="A45" s="22"/>
      <x:c r="B45" s="23" t="str">
        <x:v>04-02 좌표·가공·보정 Data 모델</x:v>
      </x:c>
      <x:c r="C45" s="23" t="str">
        <x:v>Cell/Hole/Pattern, Laser/Scanner/DOE, Distortion/APC/Review Offset을 버전형 Recipe로 통합한다.</x:v>
      </x:c>
      <x:c r="D45" s="24" t="str">
        <x:v>계획</x:v>
      </x:c>
      <x:c r="E45" s="22"/>
      <x:c r="F45" s="27" t="n">
        <x:v>1</x:v>
      </x:c>
      <x:c r="G45" s="27" t="n">
        <x:v>1</x:v>
      </x:c>
      <x:c r="H45" s="27" t="n">
        <x:v>1</x:v>
      </x:c>
      <x:c r="I45" s="27" t="n">
        <x:v>1</x:v>
      </x:c>
      <x:c r="J45" s="27" t="n">
        <x:v>1</x:v>
      </x:c>
      <x:c r="K45" s="27" t="n">
        <x:v>1</x:v>
      </x:c>
      <x:c r="L45" s="27" t="n">
        <x:v>1</x:v>
      </x:c>
      <x:c r="M45" s="27" t="n">
        <x:v>1</x:v>
      </x:c>
      <x:c r="N45" s="27" t="n">
        <x:v>1</x:v>
      </x:c>
      <x:c r="O45" s="45" t="n">
        <x:v>1</x:v>
      </x:c>
      <x:c r="P45" s="27" t="n">
        <x:v>1</x:v>
      </x:c>
      <x:c r="Q45" s="27" t="n">
        <x:v>1</x:v>
      </x:c>
      <x:c r="R45" s="27" t="n">
        <x:v>1</x:v>
      </x:c>
      <x:c r="S45" s="27" t="n">
        <x:v>1</x:v>
      </x:c>
      <x:c r="T45" s="27" t="n">
        <x:v>1</x:v>
      </x:c>
      <x:c r="U45" s="27" t="n">
        <x:v>1</x:v>
      </x:c>
      <x:c r="V45" s="27" t="n">
        <x:v>1</x:v>
      </x:c>
      <x:c r="W45" s="27" t="n">
        <x:v>1</x:v>
      </x:c>
      <x:c r="X45" s="22"/>
      <x:c r="Y45" s="22"/>
      <x:c r="Z45" s="22"/>
      <x:c r="AA45" s="22"/>
      <x:c r="AB45" s="22"/>
      <x:c r="AC45" s="22"/>
      <x:c r="AD45" s="22"/>
      <x:c r="AE45" s="22"/>
      <x:c r="AF45" s="22"/>
    </x:row>
    <x:row r="46" ht="22" customHeight="1">
      <x:c r="A46" s="22"/>
      <x:c r="B46" s="23"/>
      <x:c r="C46" s="23"/>
      <x:c r="D46" s="24" t="str">
        <x:v>실적</x:v>
      </x:c>
      <x:c r="E46" s="22"/>
      <x:c r="F46" s="30" t="n">
        <x:v>1</x:v>
      </x:c>
      <x:c r="G46" s="30" t="n">
        <x:v>1</x:v>
      </x:c>
      <x:c r="H46" s="30" t="n">
        <x:v>1</x:v>
      </x:c>
      <x:c r="I46" s="30" t="n">
        <x:v>1</x:v>
      </x:c>
      <x:c r="J46" s="30" t="n">
        <x:v>1</x:v>
      </x:c>
      <x:c r="K46" s="30" t="n">
        <x:v>1</x:v>
      </x:c>
      <x:c r="L46" s="30" t="n">
        <x:v>1</x:v>
      </x:c>
      <x:c r="M46" s="30" t="n">
        <x:v>1</x:v>
      </x:c>
      <x:c r="N46" s="30" t="n">
        <x:v>1</x:v>
      </x:c>
      <x:c r="O46" s="44"/>
      <x:c r="P46" s="22"/>
      <x:c r="Q46" s="22"/>
      <x:c r="R46" s="22"/>
      <x:c r="S46" s="22"/>
      <x:c r="T46" s="22"/>
      <x:c r="U46" s="22"/>
      <x:c r="V46" s="22"/>
      <x:c r="W46" s="22"/>
      <x:c r="X46" s="22"/>
      <x:c r="Y46" s="22"/>
      <x:c r="Z46" s="22"/>
      <x:c r="AA46" s="22"/>
      <x:c r="AB46" s="22"/>
      <x:c r="AC46" s="22"/>
      <x:c r="AD46" s="22"/>
      <x:c r="AE46" s="22"/>
      <x:c r="AF46" s="22"/>
    </x:row>
    <x:row r="47" ht="22" customHeight="1">
      <x:c r="A47" s="22"/>
      <x:c r="B47" s="23" t="str">
        <x:v>04-03 PPID·Model·Job Change 데이터</x:v>
      </x:c>
      <x:c r="C47" s="23" t="str">
        <x:v>CIM PPID와 Process/Stage/Vision Recipe를 단일 Transaction으로 교체·실패 복원한다.</x:v>
      </x:c>
      <x:c r="D47" s="24" t="str">
        <x:v>계획</x:v>
      </x:c>
      <x:c r="E47" s="22"/>
      <x:c r="F47" s="22"/>
      <x:c r="G47" s="22"/>
      <x:c r="H47" s="22"/>
      <x:c r="I47" s="22"/>
      <x:c r="J47" s="22"/>
      <x:c r="K47" s="22"/>
      <x:c r="L47" s="22"/>
      <x:c r="M47" s="22"/>
      <x:c r="N47" s="27" t="n">
        <x:v>1</x:v>
      </x:c>
      <x:c r="O47" s="45" t="n">
        <x:v>1</x:v>
      </x:c>
      <x:c r="P47" s="27" t="n">
        <x:v>1</x:v>
      </x:c>
      <x:c r="Q47" s="27" t="n">
        <x:v>1</x:v>
      </x:c>
      <x:c r="R47" s="27" t="n">
        <x:v>1</x:v>
      </x:c>
      <x:c r="S47" s="27" t="n">
        <x:v>1</x:v>
      </x:c>
      <x:c r="T47" s="27" t="n">
        <x:v>1</x:v>
      </x:c>
      <x:c r="U47" s="27" t="n">
        <x:v>1</x:v>
      </x:c>
      <x:c r="V47" s="27" t="n">
        <x:v>1</x:v>
      </x:c>
      <x:c r="W47" s="27" t="n">
        <x:v>1</x:v>
      </x:c>
      <x:c r="X47" s="27" t="n">
        <x:v>1</x:v>
      </x:c>
      <x:c r="Y47" s="27" t="n">
        <x:v>1</x:v>
      </x:c>
      <x:c r="Z47" s="22"/>
      <x:c r="AA47" s="22"/>
      <x:c r="AB47" s="22"/>
      <x:c r="AC47" s="22"/>
      <x:c r="AD47" s="22"/>
      <x:c r="AE47" s="22"/>
      <x:c r="AF47" s="22"/>
    </x:row>
    <x:row r="48" ht="22" customHeight="1">
      <x:c r="A48" s="22"/>
      <x:c r="B48" s="23"/>
      <x:c r="C48" s="23"/>
      <x:c r="D48" s="24" t="str">
        <x:v>실적</x:v>
      </x:c>
      <x:c r="E48" s="22"/>
      <x:c r="F48" s="22"/>
      <x:c r="G48" s="22"/>
      <x:c r="H48" s="22"/>
      <x:c r="I48" s="22"/>
      <x:c r="J48" s="22"/>
      <x:c r="K48" s="22"/>
      <x:c r="L48" s="22"/>
      <x:c r="M48" s="22"/>
      <x:c r="N48" s="30" t="n">
        <x:v>1</x:v>
      </x:c>
      <x:c r="O48" s="44"/>
      <x:c r="P48" s="22"/>
      <x:c r="Q48" s="22"/>
      <x:c r="R48" s="22"/>
      <x:c r="S48" s="22"/>
      <x:c r="T48" s="22"/>
      <x:c r="U48" s="22"/>
      <x:c r="V48" s="22"/>
      <x:c r="W48" s="22"/>
      <x:c r="X48" s="22"/>
      <x:c r="Y48" s="22"/>
      <x:c r="Z48" s="22"/>
      <x:c r="AA48" s="22"/>
      <x:c r="AB48" s="22"/>
      <x:c r="AC48" s="22"/>
      <x:c r="AD48" s="22"/>
      <x:c r="AE48" s="22"/>
      <x:c r="AF48" s="22"/>
    </x:row>
    <x:row r="49" ht="22" customHeight="1">
      <x:c r="A49" s="22"/>
      <x:c r="B49" s="23" t="str">
        <x:v>04-04 Product·Inspection·통계 데이터</x:v>
      </x:c>
      <x:c r="C49" s="23" t="str">
        <x:v>가공 실적, Review/Power/Alarm 결과, 시작·종료·NG 사유를 저장하고 Server PC로 이관한다.</x:v>
      </x:c>
      <x:c r="D49" s="24" t="str">
        <x:v>계획</x:v>
      </x:c>
      <x:c r="E49" s="22"/>
      <x:c r="F49" s="22"/>
      <x:c r="G49" s="22"/>
      <x:c r="H49" s="22"/>
      <x:c r="I49" s="22"/>
      <x:c r="J49" s="27" t="n">
        <x:v>1</x:v>
      </x:c>
      <x:c r="K49" s="27" t="n">
        <x:v>1</x:v>
      </x:c>
      <x:c r="L49" s="27" t="n">
        <x:v>1</x:v>
      </x:c>
      <x:c r="M49" s="27" t="n">
        <x:v>1</x:v>
      </x:c>
      <x:c r="N49" s="27" t="n">
        <x:v>1</x:v>
      </x:c>
      <x:c r="O49" s="45" t="n">
        <x:v>1</x:v>
      </x:c>
      <x:c r="P49" s="27" t="n">
        <x:v>1</x:v>
      </x:c>
      <x:c r="Q49" s="27" t="n">
        <x:v>1</x:v>
      </x:c>
      <x:c r="R49" s="27" t="n">
        <x:v>1</x:v>
      </x:c>
      <x:c r="S49" s="27" t="n">
        <x:v>1</x:v>
      </x:c>
      <x:c r="T49" s="27" t="n">
        <x:v>1</x:v>
      </x:c>
      <x:c r="U49" s="27" t="n">
        <x:v>1</x:v>
      </x:c>
      <x:c r="V49" s="27" t="n">
        <x:v>1</x:v>
      </x:c>
      <x:c r="W49" s="27" t="n">
        <x:v>1</x:v>
      </x:c>
      <x:c r="X49" s="27" t="n">
        <x:v>1</x:v>
      </x:c>
      <x:c r="Y49" s="27" t="n">
        <x:v>1</x:v>
      </x:c>
      <x:c r="Z49" s="22"/>
      <x:c r="AA49" s="22"/>
      <x:c r="AB49" s="22"/>
      <x:c r="AC49" s="22"/>
      <x:c r="AD49" s="22"/>
      <x:c r="AE49" s="22"/>
      <x:c r="AF49" s="22"/>
    </x:row>
    <x:row r="50" ht="22" customHeight="1">
      <x:c r="A50" s="22"/>
      <x:c r="B50" s="23"/>
      <x:c r="C50" s="23"/>
      <x:c r="D50" s="24" t="str">
        <x:v>실적</x:v>
      </x:c>
      <x:c r="E50" s="22"/>
      <x:c r="F50" s="22"/>
      <x:c r="G50" s="22"/>
      <x:c r="H50" s="22"/>
      <x:c r="I50" s="22"/>
      <x:c r="J50" s="30" t="n">
        <x:v>1</x:v>
      </x:c>
      <x:c r="K50" s="30" t="n">
        <x:v>1</x:v>
      </x:c>
      <x:c r="L50" s="30" t="n">
        <x:v>1</x:v>
      </x:c>
      <x:c r="M50" s="30" t="n">
        <x:v>1</x:v>
      </x:c>
      <x:c r="N50" s="30" t="n">
        <x:v>1</x:v>
      </x:c>
      <x:c r="O50" s="44"/>
      <x:c r="P50" s="22"/>
      <x:c r="Q50" s="22"/>
      <x:c r="R50" s="22"/>
      <x:c r="S50" s="22"/>
      <x:c r="T50" s="22"/>
      <x:c r="U50" s="22"/>
      <x:c r="V50" s="22"/>
      <x:c r="W50" s="22"/>
      <x:c r="X50" s="22"/>
      <x:c r="Y50" s="22"/>
      <x:c r="Z50" s="22"/>
      <x:c r="AA50" s="22"/>
      <x:c r="AB50" s="22"/>
      <x:c r="AC50" s="22"/>
      <x:c r="AD50" s="22"/>
      <x:c r="AE50" s="22"/>
      <x:c r="AF50" s="22"/>
    </x:row>
    <x:row r="51" ht="22" customHeight="1">
      <x:c r="A51" s="22"/>
      <x:c r="B51" s="23" t="str">
        <x:v>04-05 Recipe 변경이력·승인</x:v>
      </x:c>
      <x:c r="C51" s="23" t="str">
        <x:v>누가/언제/무엇을/이전값/변경값/승인자를 기록하고 조회·복원한다.</x:v>
      </x:c>
      <x:c r="D51" s="24" t="str">
        <x:v>계획</x:v>
      </x:c>
      <x:c r="E51" s="22"/>
      <x:c r="F51" s="22"/>
      <x:c r="G51" s="22"/>
      <x:c r="H51" s="22"/>
      <x:c r="I51" s="27" t="n">
        <x:v>1</x:v>
      </x:c>
      <x:c r="J51" s="27" t="n">
        <x:v>1</x:v>
      </x:c>
      <x:c r="K51" s="27" t="n">
        <x:v>1</x:v>
      </x:c>
      <x:c r="L51" s="27" t="n">
        <x:v>1</x:v>
      </x:c>
      <x:c r="M51" s="27" t="n">
        <x:v>1</x:v>
      </x:c>
      <x:c r="N51" s="27" t="n">
        <x:v>1</x:v>
      </x:c>
      <x:c r="O51" s="45" t="n">
        <x:v>1</x:v>
      </x:c>
      <x:c r="P51" s="27" t="n">
        <x:v>1</x:v>
      </x:c>
      <x:c r="Q51" s="27" t="n">
        <x:v>1</x:v>
      </x:c>
      <x:c r="R51" s="27" t="n">
        <x:v>1</x:v>
      </x:c>
      <x:c r="S51" s="27" t="n">
        <x:v>1</x:v>
      </x:c>
      <x:c r="T51" s="27" t="n">
        <x:v>1</x:v>
      </x:c>
      <x:c r="U51" s="27" t="n">
        <x:v>1</x:v>
      </x:c>
      <x:c r="V51" s="27" t="n">
        <x:v>1</x:v>
      </x:c>
      <x:c r="W51" s="22"/>
      <x:c r="X51" s="22"/>
      <x:c r="Y51" s="22"/>
      <x:c r="Z51" s="22"/>
      <x:c r="AA51" s="22"/>
      <x:c r="AB51" s="22"/>
      <x:c r="AC51" s="22"/>
      <x:c r="AD51" s="22"/>
      <x:c r="AE51" s="22"/>
      <x:c r="AF51" s="22"/>
    </x:row>
    <x:row r="52" ht="22" customHeight="1">
      <x:c r="A52" s="22"/>
      <x:c r="B52" s="23"/>
      <x:c r="C52" s="23"/>
      <x:c r="D52" s="24" t="str">
        <x:v>실적</x:v>
      </x:c>
      <x:c r="E52" s="22"/>
      <x:c r="F52" s="22"/>
      <x:c r="G52" s="22"/>
      <x:c r="H52" s="22"/>
      <x:c r="I52" s="30" t="n">
        <x:v>1</x:v>
      </x:c>
      <x:c r="J52" s="30" t="n">
        <x:v>1</x:v>
      </x:c>
      <x:c r="K52" s="30" t="n">
        <x:v>1</x:v>
      </x:c>
      <x:c r="L52" s="30" t="n">
        <x:v>1</x:v>
      </x:c>
      <x:c r="M52" s="30" t="n">
        <x:v>1</x:v>
      </x:c>
      <x:c r="N52" s="30" t="n">
        <x:v>1</x:v>
      </x:c>
      <x:c r="O52" s="47" t="n">
        <x:v>1</x:v>
      </x:c>
      <x:c r="P52" s="22"/>
      <x:c r="Q52" s="22"/>
      <x:c r="R52" s="22"/>
      <x:c r="S52" s="22"/>
      <x:c r="T52" s="22"/>
      <x:c r="U52" s="22"/>
      <x:c r="V52" s="22"/>
      <x:c r="W52" s="22"/>
      <x:c r="X52" s="22"/>
      <x:c r="Y52" s="22"/>
      <x:c r="Z52" s="22"/>
      <x:c r="AA52" s="22"/>
      <x:c r="AB52" s="22"/>
      <x:c r="AC52" s="22"/>
      <x:c r="AD52" s="22"/>
      <x:c r="AE52" s="22"/>
      <x:c r="AF52" s="22"/>
    </x:row>
    <x:row r="53" ht="22" customHeight="1">
      <x:c r="A53" s="22"/>
      <x:c r="B53" s="23" t="str">
        <x:v>04-06 설정 백업·복구·보존</x:v>
      </x:c>
      <x:c r="C53" s="23" t="str">
        <x:v>Settings/Recipe/Mapping/APC/Log의 백업주기, 보존기간, 복구시험과 무결성 검사를 구현한다.</x:v>
      </x:c>
      <x:c r="D53" s="24" t="str">
        <x:v>계획</x:v>
      </x:c>
      <x:c r="E53" s="22"/>
      <x:c r="F53" s="22"/>
      <x:c r="G53" s="22"/>
      <x:c r="H53" s="22"/>
      <x:c r="I53" s="22"/>
      <x:c r="J53" s="22"/>
      <x:c r="K53" s="22"/>
      <x:c r="L53" s="22"/>
      <x:c r="M53" s="27" t="n">
        <x:v>1</x:v>
      </x:c>
      <x:c r="N53" s="27" t="n">
        <x:v>1</x:v>
      </x:c>
      <x:c r="O53" s="45" t="n">
        <x:v>1</x:v>
      </x:c>
      <x:c r="P53" s="27" t="n">
        <x:v>1</x:v>
      </x:c>
      <x:c r="Q53" s="27" t="n">
        <x:v>1</x:v>
      </x:c>
      <x:c r="R53" s="27" t="n">
        <x:v>1</x:v>
      </x:c>
      <x:c r="S53" s="27" t="n">
        <x:v>1</x:v>
      </x:c>
      <x:c r="T53" s="27" t="n">
        <x:v>1</x:v>
      </x:c>
      <x:c r="U53" s="27" t="n">
        <x:v>1</x:v>
      </x:c>
      <x:c r="V53" s="27" t="n">
        <x:v>1</x:v>
      </x:c>
      <x:c r="W53" s="27" t="n">
        <x:v>1</x:v>
      </x:c>
      <x:c r="X53" s="27" t="n">
        <x:v>1</x:v>
      </x:c>
      <x:c r="Y53" s="27" t="n">
        <x:v>1</x:v>
      </x:c>
      <x:c r="Z53" s="27" t="n">
        <x:v>1</x:v>
      </x:c>
      <x:c r="AA53" s="27" t="n">
        <x:v>1</x:v>
      </x:c>
      <x:c r="AB53" s="22"/>
      <x:c r="AC53" s="22"/>
      <x:c r="AD53" s="22"/>
      <x:c r="AE53" s="22"/>
      <x:c r="AF53" s="22"/>
    </x:row>
    <x:row r="54" ht="22" customHeight="1">
      <x:c r="A54" s="35"/>
      <x:c r="B54" s="36"/>
      <x:c r="C54" s="36"/>
      <x:c r="D54" s="37" t="str">
        <x:v>실적</x:v>
      </x:c>
      <x:c r="E54" s="35"/>
      <x:c r="F54" s="35"/>
      <x:c r="G54" s="35"/>
      <x:c r="H54" s="35"/>
      <x:c r="I54" s="35"/>
      <x:c r="J54" s="35"/>
      <x:c r="K54" s="35"/>
      <x:c r="L54" s="35"/>
      <x:c r="M54" s="38" t="n">
        <x:v>1</x:v>
      </x:c>
      <x:c r="N54" s="38" t="n">
        <x:v>1</x:v>
      </x:c>
      <x:c r="O54" s="48" t="n">
        <x:v>1</x:v>
      </x:c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5"/>
      <x:c r="AA54" s="35"/>
      <x:c r="AB54" s="35"/>
      <x:c r="AC54" s="35"/>
      <x:c r="AD54" s="35"/>
      <x:c r="AE54" s="35"/>
      <x:c r="AF54" s="35"/>
    </x:row>
    <x:row r="55" ht="22" customHeight="1">
      <x:c r="A55" s="41" t="str">
        <x:v>05
Auto/Step/Recovery Sequence</x:v>
      </x:c>
      <x:c r="B55" s="32" t="str">
        <x:v>05-01 Precheck·Ready Sequence</x:v>
      </x:c>
      <x:c r="C55" s="32" t="str">
        <x:v>Door/Laser/Scanner/Stage/Optics/Recipe/CIM 조건을 검사하고 실패 원인·복구조치를 안내한다.</x:v>
      </x:c>
      <x:c r="D55" s="33" t="str">
        <x:v>계획</x:v>
      </x:c>
      <x:c r="E55" s="31"/>
      <x:c r="F55" s="34" t="n">
        <x:v>1</x:v>
      </x:c>
      <x:c r="G55" s="34" t="n">
        <x:v>1</x:v>
      </x:c>
      <x:c r="H55" s="34" t="n">
        <x:v>1</x:v>
      </x:c>
      <x:c r="I55" s="34" t="n">
        <x:v>1</x:v>
      </x:c>
      <x:c r="J55" s="34" t="n">
        <x:v>1</x:v>
      </x:c>
      <x:c r="K55" s="34" t="n">
        <x:v>1</x:v>
      </x:c>
      <x:c r="L55" s="34" t="n">
        <x:v>1</x:v>
      </x:c>
      <x:c r="M55" s="34" t="n">
        <x:v>1</x:v>
      </x:c>
      <x:c r="N55" s="34" t="n">
        <x:v>1</x:v>
      </x:c>
      <x:c r="O55" s="43" t="n">
        <x:v>1</x:v>
      </x:c>
      <x:c r="P55" s="34" t="n">
        <x:v>1</x:v>
      </x:c>
      <x:c r="Q55" s="34" t="n">
        <x:v>1</x:v>
      </x:c>
      <x:c r="R55" s="34" t="n">
        <x:v>1</x:v>
      </x:c>
      <x:c r="S55" s="34" t="n">
        <x:v>1</x:v>
      </x:c>
      <x:c r="T55" s="34" t="n">
        <x:v>1</x:v>
      </x:c>
      <x:c r="U55" s="31"/>
      <x:c r="V55" s="31"/>
      <x:c r="W55" s="31"/>
      <x:c r="X55" s="31"/>
      <x:c r="Y55" s="31"/>
      <x:c r="Z55" s="31"/>
      <x:c r="AA55" s="31"/>
      <x:c r="AB55" s="31"/>
      <x:c r="AC55" s="31"/>
      <x:c r="AD55" s="31"/>
      <x:c r="AE55" s="31"/>
      <x:c r="AF55" s="31"/>
    </x:row>
    <x:row r="56" ht="22" customHeight="1">
      <x:c r="A56" s="22"/>
      <x:c r="B56" s="23"/>
      <x:c r="C56" s="23"/>
      <x:c r="D56" s="24" t="str">
        <x:v>실적</x:v>
      </x:c>
      <x:c r="E56" s="22"/>
      <x:c r="F56" s="30" t="n">
        <x:v>1</x:v>
      </x:c>
      <x:c r="G56" s="30" t="n">
        <x:v>1</x:v>
      </x:c>
      <x:c r="H56" s="30" t="n">
        <x:v>1</x:v>
      </x:c>
      <x:c r="I56" s="30" t="n">
        <x:v>1</x:v>
      </x:c>
      <x:c r="J56" s="30" t="n">
        <x:v>1</x:v>
      </x:c>
      <x:c r="K56" s="30" t="n">
        <x:v>1</x:v>
      </x:c>
      <x:c r="L56" s="30" t="n">
        <x:v>1</x:v>
      </x:c>
      <x:c r="M56" s="30" t="n">
        <x:v>1</x:v>
      </x:c>
      <x:c r="N56" s="22"/>
      <x:c r="O56" s="44"/>
      <x:c r="P56" s="22"/>
      <x:c r="Q56" s="22"/>
      <x:c r="R56" s="22"/>
      <x:c r="S56" s="22"/>
      <x:c r="T56" s="22"/>
      <x:c r="U56" s="22"/>
      <x:c r="V56" s="22"/>
      <x:c r="W56" s="22"/>
      <x:c r="X56" s="22"/>
      <x:c r="Y56" s="22"/>
      <x:c r="Z56" s="22"/>
      <x:c r="AA56" s="22"/>
      <x:c r="AB56" s="22"/>
      <x:c r="AC56" s="22"/>
      <x:c r="AD56" s="22"/>
      <x:c r="AE56" s="22"/>
      <x:c r="AF56" s="22"/>
    </x:row>
    <x:row r="57" ht="22" customHeight="1">
      <x:c r="A57" s="22"/>
      <x:c r="B57" s="23" t="str">
        <x:v>05-02 Auto·Step 전체 Sequence</x:v>
      </x:c>
      <x:c r="C57" s="23" t="str">
        <x:v>Align→Optic→MOF/OTF→Scanner Mark/Shot→Review→Power→Complete를 Auto/Step 양 모드로 완성한다.</x:v>
      </x:c>
      <x:c r="D57" s="24" t="str">
        <x:v>계획</x:v>
      </x:c>
      <x:c r="E57" s="22"/>
      <x:c r="F57" s="22"/>
      <x:c r="G57" s="27" t="n">
        <x:v>1</x:v>
      </x:c>
      <x:c r="H57" s="27" t="n">
        <x:v>1</x:v>
      </x:c>
      <x:c r="I57" s="27" t="n">
        <x:v>1</x:v>
      </x:c>
      <x:c r="J57" s="27" t="n">
        <x:v>1</x:v>
      </x:c>
      <x:c r="K57" s="27" t="n">
        <x:v>1</x:v>
      </x:c>
      <x:c r="L57" s="27" t="n">
        <x:v>1</x:v>
      </x:c>
      <x:c r="M57" s="27" t="n">
        <x:v>1</x:v>
      </x:c>
      <x:c r="N57" s="27" t="n">
        <x:v>1</x:v>
      </x:c>
      <x:c r="O57" s="45" t="n">
        <x:v>1</x:v>
      </x:c>
      <x:c r="P57" s="27" t="n">
        <x:v>1</x:v>
      </x:c>
      <x:c r="Q57" s="27" t="n">
        <x:v>1</x:v>
      </x:c>
      <x:c r="R57" s="27" t="n">
        <x:v>1</x:v>
      </x:c>
      <x:c r="S57" s="27" t="n">
        <x:v>1</x:v>
      </x:c>
      <x:c r="T57" s="27" t="n">
        <x:v>1</x:v>
      </x:c>
      <x:c r="U57" s="27" t="n">
        <x:v>1</x:v>
      </x:c>
      <x:c r="V57" s="27" t="n">
        <x:v>1</x:v>
      </x:c>
      <x:c r="W57" s="27" t="n">
        <x:v>1</x:v>
      </x:c>
      <x:c r="X57" s="27" t="n">
        <x:v>1</x:v>
      </x:c>
      <x:c r="Y57" s="27" t="n">
        <x:v>1</x:v>
      </x:c>
      <x:c r="Z57" s="27" t="n">
        <x:v>1</x:v>
      </x:c>
      <x:c r="AA57" s="22"/>
      <x:c r="AB57" s="22"/>
      <x:c r="AC57" s="22"/>
      <x:c r="AD57" s="22"/>
      <x:c r="AE57" s="22"/>
      <x:c r="AF57" s="22"/>
    </x:row>
    <x:row r="58" ht="22" customHeight="1">
      <x:c r="A58" s="22"/>
      <x:c r="B58" s="23"/>
      <x:c r="C58" s="23"/>
      <x:c r="D58" s="24" t="str">
        <x:v>실적</x:v>
      </x:c>
      <x:c r="E58" s="22"/>
      <x:c r="F58" s="22"/>
      <x:c r="G58" s="30" t="n">
        <x:v>1</x:v>
      </x:c>
      <x:c r="H58" s="30" t="n">
        <x:v>1</x:v>
      </x:c>
      <x:c r="I58" s="30" t="n">
        <x:v>1</x:v>
      </x:c>
      <x:c r="J58" s="30" t="n">
        <x:v>1</x:v>
      </x:c>
      <x:c r="K58" s="30" t="n">
        <x:v>1</x:v>
      </x:c>
      <x:c r="L58" s="30" t="n">
        <x:v>1</x:v>
      </x:c>
      <x:c r="M58" s="30" t="n">
        <x:v>1</x:v>
      </x:c>
      <x:c r="N58" s="22"/>
      <x:c r="O58" s="44"/>
      <x:c r="P58" s="22"/>
      <x:c r="Q58" s="22"/>
      <x:c r="R58" s="22"/>
      <x:c r="S58" s="22"/>
      <x:c r="T58" s="22"/>
      <x:c r="U58" s="22"/>
      <x:c r="V58" s="22"/>
      <x:c r="W58" s="22"/>
      <x:c r="X58" s="22"/>
      <x:c r="Y58" s="22"/>
      <x:c r="Z58" s="22"/>
      <x:c r="AA58" s="22"/>
      <x:c r="AB58" s="22"/>
      <x:c r="AC58" s="22"/>
      <x:c r="AD58" s="22"/>
      <x:c r="AE58" s="22"/>
      <x:c r="AF58" s="22"/>
    </x:row>
    <x:row r="59" ht="22" customHeight="1">
      <x:c r="A59" s="22"/>
      <x:c r="B59" s="23" t="str">
        <x:v>05-03 Pause·Stop·Reset·Recovery</x:v>
      </x:c>
      <x:c r="C59" s="23" t="str">
        <x:v>단계별 Safe Stop, Laser Off, Motion 정지, Resume/재시작점, 재가공 방지와 Alarm Reset을 구현한다.</x:v>
      </x:c>
      <x:c r="D59" s="24" t="str">
        <x:v>계획</x:v>
      </x:c>
      <x:c r="E59" s="22"/>
      <x:c r="F59" s="22"/>
      <x:c r="G59" s="22"/>
      <x:c r="H59" s="22"/>
      <x:c r="I59" s="22"/>
      <x:c r="J59" s="27" t="n">
        <x:v>1</x:v>
      </x:c>
      <x:c r="K59" s="27" t="n">
        <x:v>1</x:v>
      </x:c>
      <x:c r="L59" s="27" t="n">
        <x:v>1</x:v>
      </x:c>
      <x:c r="M59" s="27" t="n">
        <x:v>1</x:v>
      </x:c>
      <x:c r="N59" s="27" t="n">
        <x:v>1</x:v>
      </x:c>
      <x:c r="O59" s="45" t="n">
        <x:v>1</x:v>
      </x:c>
      <x:c r="P59" s="27" t="n">
        <x:v>1</x:v>
      </x:c>
      <x:c r="Q59" s="27" t="n">
        <x:v>1</x:v>
      </x:c>
      <x:c r="R59" s="27" t="n">
        <x:v>1</x:v>
      </x:c>
      <x:c r="S59" s="27" t="n">
        <x:v>1</x:v>
      </x:c>
      <x:c r="T59" s="27" t="n">
        <x:v>1</x:v>
      </x:c>
      <x:c r="U59" s="27" t="n">
        <x:v>1</x:v>
      </x:c>
      <x:c r="V59" s="27" t="n">
        <x:v>1</x:v>
      </x:c>
      <x:c r="W59" s="27" t="n">
        <x:v>1</x:v>
      </x:c>
      <x:c r="X59" s="27" t="n">
        <x:v>1</x:v>
      </x:c>
      <x:c r="Y59" s="27" t="n">
        <x:v>1</x:v>
      </x:c>
      <x:c r="Z59" s="27" t="n">
        <x:v>1</x:v>
      </x:c>
      <x:c r="AA59" s="22"/>
      <x:c r="AB59" s="22"/>
      <x:c r="AC59" s="22"/>
      <x:c r="AD59" s="22"/>
      <x:c r="AE59" s="22"/>
      <x:c r="AF59" s="22"/>
    </x:row>
    <x:row r="60" ht="22" customHeight="1">
      <x:c r="A60" s="22"/>
      <x:c r="B60" s="23"/>
      <x:c r="C60" s="23"/>
      <x:c r="D60" s="24" t="str">
        <x:v>실적</x:v>
      </x:c>
      <x:c r="E60" s="22"/>
      <x:c r="F60" s="22"/>
      <x:c r="G60" s="22"/>
      <x:c r="H60" s="22"/>
      <x:c r="I60" s="22"/>
      <x:c r="J60" s="30" t="n">
        <x:v>1</x:v>
      </x:c>
      <x:c r="K60" s="30" t="n">
        <x:v>1</x:v>
      </x:c>
      <x:c r="L60" s="30" t="n">
        <x:v>1</x:v>
      </x:c>
      <x:c r="M60" s="22"/>
      <x:c r="N60" s="22"/>
      <x:c r="O60" s="44"/>
      <x:c r="P60" s="22"/>
      <x:c r="Q60" s="22"/>
      <x:c r="R60" s="22"/>
      <x:c r="S60" s="22"/>
      <x:c r="T60" s="22"/>
      <x:c r="U60" s="22"/>
      <x:c r="V60" s="22"/>
      <x:c r="W60" s="22"/>
      <x:c r="X60" s="22"/>
      <x:c r="Y60" s="22"/>
      <x:c r="Z60" s="22"/>
      <x:c r="AA60" s="22"/>
      <x:c r="AB60" s="22"/>
      <x:c r="AC60" s="22"/>
      <x:c r="AD60" s="22"/>
      <x:c r="AE60" s="22"/>
      <x:c r="AF60" s="22"/>
    </x:row>
    <x:row r="61" ht="22" customHeight="1">
      <x:c r="A61" s="22"/>
      <x:c r="B61" s="23" t="str">
        <x:v>05-04 보호윈도우 교체 Sequence</x:v>
      </x:c>
      <x:c r="C61" s="23" t="str">
        <x:v>ATT 사용량/투과율/Power 추세 기반 교체판정, 작업 안내, 교체 후 Power/APC 보정을 수행한다.</x:v>
      </x:c>
      <x:c r="D61" s="24" t="str">
        <x:v>계획</x:v>
      </x:c>
      <x:c r="E61" s="22"/>
      <x:c r="F61" s="22"/>
      <x:c r="G61" s="22"/>
      <x:c r="H61" s="22"/>
      <x:c r="I61" s="22"/>
      <x:c r="J61" s="22"/>
      <x:c r="K61" s="22"/>
      <x:c r="L61" s="22"/>
      <x:c r="M61" s="22"/>
      <x:c r="N61" s="22"/>
      <x:c r="O61" s="45" t="n">
        <x:v>1</x:v>
      </x:c>
      <x:c r="P61" s="27" t="n">
        <x:v>1</x:v>
      </x:c>
      <x:c r="Q61" s="27" t="n">
        <x:v>1</x:v>
      </x:c>
      <x:c r="R61" s="27" t="n">
        <x:v>1</x:v>
      </x:c>
      <x:c r="S61" s="27" t="n">
        <x:v>1</x:v>
      </x:c>
      <x:c r="T61" s="27" t="n">
        <x:v>1</x:v>
      </x:c>
      <x:c r="U61" s="27" t="n">
        <x:v>1</x:v>
      </x:c>
      <x:c r="V61" s="27" t="n">
        <x:v>1</x:v>
      </x:c>
      <x:c r="W61" s="27" t="n">
        <x:v>1</x:v>
      </x:c>
      <x:c r="X61" s="27" t="n">
        <x:v>1</x:v>
      </x:c>
      <x:c r="Y61" s="27" t="n">
        <x:v>1</x:v>
      </x:c>
      <x:c r="Z61" s="27" t="n">
        <x:v>1</x:v>
      </x:c>
      <x:c r="AA61" s="27" t="n">
        <x:v>1</x:v>
      </x:c>
      <x:c r="AB61" s="22"/>
      <x:c r="AC61" s="22"/>
      <x:c r="AD61" s="22"/>
      <x:c r="AE61" s="22"/>
      <x:c r="AF61" s="22"/>
    </x:row>
    <x:row r="62" ht="22" customHeight="1">
      <x:c r="A62" s="22"/>
      <x:c r="B62" s="23"/>
      <x:c r="C62" s="23"/>
      <x:c r="D62" s="24" t="str">
        <x:v>실적</x:v>
      </x:c>
      <x:c r="E62" s="22"/>
      <x:c r="F62" s="22"/>
      <x:c r="G62" s="22"/>
      <x:c r="H62" s="22"/>
      <x:c r="I62" s="22"/>
      <x:c r="J62" s="22"/>
      <x:c r="K62" s="22"/>
      <x:c r="L62" s="22"/>
      <x:c r="M62" s="22"/>
      <x:c r="N62" s="22"/>
      <x:c r="O62" s="47" t="n">
        <x:v>1</x:v>
      </x:c>
      <x:c r="P62" s="22"/>
      <x:c r="Q62" s="22"/>
      <x:c r="R62" s="22"/>
      <x:c r="S62" s="22"/>
      <x:c r="T62" s="22"/>
      <x:c r="U62" s="22"/>
      <x:c r="V62" s="22"/>
      <x:c r="W62" s="22"/>
      <x:c r="X62" s="22"/>
      <x:c r="Y62" s="22"/>
      <x:c r="Z62" s="22"/>
      <x:c r="AA62" s="22"/>
      <x:c r="AB62" s="22"/>
      <x:c r="AC62" s="22"/>
      <x:c r="AD62" s="22"/>
      <x:c r="AE62" s="22"/>
      <x:c r="AF62" s="22"/>
    </x:row>
    <x:row r="63" ht="22" customHeight="1">
      <x:c r="A63" s="22"/>
      <x:c r="B63" s="23" t="str">
        <x:v>05-05 Auto Job Change</x:v>
      </x:c>
      <x:c r="C63" s="23" t="str">
        <x:v>PPID 검증→다중 PC Recipe 변경→축/광학/Scanner 설정→Readback→Rollback Sequence를 신규 구현한다.</x:v>
      </x:c>
      <x:c r="D63" s="24" t="str">
        <x:v>계획</x:v>
      </x:c>
      <x:c r="E63" s="22"/>
      <x:c r="F63" s="22"/>
      <x:c r="G63" s="22"/>
      <x:c r="H63" s="22"/>
      <x:c r="I63" s="22"/>
      <x:c r="J63" s="22"/>
      <x:c r="K63" s="22"/>
      <x:c r="L63" s="22"/>
      <x:c r="M63" s="22"/>
      <x:c r="N63" s="22"/>
      <x:c r="O63" s="44"/>
      <x:c r="P63" s="27" t="n">
        <x:v>1</x:v>
      </x:c>
      <x:c r="Q63" s="27" t="n">
        <x:v>1</x:v>
      </x:c>
      <x:c r="R63" s="27" t="n">
        <x:v>1</x:v>
      </x:c>
      <x:c r="S63" s="27" t="n">
        <x:v>1</x:v>
      </x:c>
      <x:c r="T63" s="27" t="n">
        <x:v>1</x:v>
      </x:c>
      <x:c r="U63" s="27" t="n">
        <x:v>1</x:v>
      </x:c>
      <x:c r="V63" s="27" t="n">
        <x:v>1</x:v>
      </x:c>
      <x:c r="W63" s="27" t="n">
        <x:v>1</x:v>
      </x:c>
      <x:c r="X63" s="27" t="n">
        <x:v>1</x:v>
      </x:c>
      <x:c r="Y63" s="27" t="n">
        <x:v>1</x:v>
      </x:c>
      <x:c r="Z63" s="27" t="n">
        <x:v>1</x:v>
      </x:c>
      <x:c r="AA63" s="27" t="n">
        <x:v>1</x:v>
      </x:c>
      <x:c r="AB63" s="22"/>
      <x:c r="AC63" s="22"/>
      <x:c r="AD63" s="22"/>
      <x:c r="AE63" s="22"/>
      <x:c r="AF63" s="22"/>
    </x:row>
    <x:row r="64" ht="22" customHeight="1">
      <x:c r="A64" s="35"/>
      <x:c r="B64" s="36"/>
      <x:c r="C64" s="36"/>
      <x:c r="D64" s="37" t="str">
        <x:v>실적</x:v>
      </x:c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46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5"/>
      <x:c r="AA64" s="35"/>
      <x:c r="AB64" s="35"/>
      <x:c r="AC64" s="35"/>
      <x:c r="AD64" s="35"/>
      <x:c r="AE64" s="35"/>
      <x:c r="AF64" s="35"/>
    </x:row>
    <x:row r="65" ht="22" customHeight="1">
      <x:c r="A65" s="41" t="str">
        <x:v>06
Manual 및 Maintenance</x:v>
      </x:c>
      <x:c r="B65" s="32" t="str">
        <x:v>06-01 Device Manual 명령</x:v>
      </x:c>
      <x:c r="C65" s="32" t="str">
        <x:v>Stage/Review/Scanner/Laser/DOE/ATT/BET/Power/Pico를 권한·Interlock 하에서 수동 제어한다.</x:v>
      </x:c>
      <x:c r="D65" s="33" t="str">
        <x:v>계획</x:v>
      </x:c>
      <x:c r="E65" s="34" t="n">
        <x:v>1</x:v>
      </x:c>
      <x:c r="F65" s="34" t="n">
        <x:v>1</x:v>
      </x:c>
      <x:c r="G65" s="34" t="n">
        <x:v>1</x:v>
      </x:c>
      <x:c r="H65" s="34" t="n">
        <x:v>1</x:v>
      </x:c>
      <x:c r="I65" s="34" t="n">
        <x:v>1</x:v>
      </x:c>
      <x:c r="J65" s="34" t="n">
        <x:v>1</x:v>
      </x:c>
      <x:c r="K65" s="34" t="n">
        <x:v>1</x:v>
      </x:c>
      <x:c r="L65" s="34" t="n">
        <x:v>1</x:v>
      </x:c>
      <x:c r="M65" s="34" t="n">
        <x:v>1</x:v>
      </x:c>
      <x:c r="N65" s="34" t="n">
        <x:v>1</x:v>
      </x:c>
      <x:c r="O65" s="43" t="n">
        <x:v>1</x:v>
      </x:c>
      <x:c r="P65" s="34" t="n">
        <x:v>1</x:v>
      </x:c>
      <x:c r="Q65" s="34" t="n">
        <x:v>1</x:v>
      </x:c>
      <x:c r="R65" s="34" t="n">
        <x:v>1</x:v>
      </x:c>
      <x:c r="S65" s="34" t="n">
        <x:v>1</x:v>
      </x:c>
      <x:c r="T65" s="34" t="n">
        <x:v>1</x:v>
      </x:c>
      <x:c r="U65" s="34" t="n">
        <x:v>1</x:v>
      </x:c>
      <x:c r="V65" s="31"/>
      <x:c r="W65" s="31"/>
      <x:c r="X65" s="31"/>
      <x:c r="Y65" s="31"/>
      <x:c r="Z65" s="31"/>
      <x:c r="AA65" s="31"/>
      <x:c r="AB65" s="31"/>
      <x:c r="AC65" s="31"/>
      <x:c r="AD65" s="31"/>
      <x:c r="AE65" s="31"/>
      <x:c r="AF65" s="31"/>
    </x:row>
    <x:row r="66" ht="22" customHeight="1">
      <x:c r="A66" s="22"/>
      <x:c r="B66" s="23"/>
      <x:c r="C66" s="23"/>
      <x:c r="D66" s="24" t="str">
        <x:v>실적</x:v>
      </x:c>
      <x:c r="E66" s="30" t="n">
        <x:v>1</x:v>
      </x:c>
      <x:c r="F66" s="30" t="n">
        <x:v>1</x:v>
      </x:c>
      <x:c r="G66" s="30" t="n">
        <x:v>1</x:v>
      </x:c>
      <x:c r="H66" s="30" t="n">
        <x:v>1</x:v>
      </x:c>
      <x:c r="I66" s="30" t="n">
        <x:v>1</x:v>
      </x:c>
      <x:c r="J66" s="30" t="n">
        <x:v>1</x:v>
      </x:c>
      <x:c r="K66" s="30" t="n">
        <x:v>1</x:v>
      </x:c>
      <x:c r="L66" s="30" t="n">
        <x:v>1</x:v>
      </x:c>
      <x:c r="M66" s="22"/>
      <x:c r="N66" s="22"/>
      <x:c r="O66" s="44"/>
      <x:c r="P66" s="22"/>
      <x:c r="Q66" s="22"/>
      <x:c r="R66" s="22"/>
      <x:c r="S66" s="22"/>
      <x:c r="T66" s="22"/>
      <x:c r="U66" s="22"/>
      <x:c r="V66" s="22"/>
      <x:c r="W66" s="22"/>
      <x:c r="X66" s="22"/>
      <x:c r="Y66" s="22"/>
      <x:c r="Z66" s="22"/>
      <x:c r="AA66" s="22"/>
      <x:c r="AB66" s="22"/>
      <x:c r="AC66" s="22"/>
      <x:c r="AD66" s="22"/>
      <x:c r="AE66" s="22"/>
      <x:c r="AF66" s="22"/>
    </x:row>
    <x:row r="67" ht="22" customHeight="1">
      <x:c r="A67" s="22"/>
      <x:c r="B67" s="23" t="str">
        <x:v>06-02 Manual 가공·패턴</x:v>
      </x:c>
      <x:c r="C67" s="23" t="str">
        <x:v>Laser Mark/Shot, Jump, Pattern, Step 가공과 Recipe/결과 저장을 실장비로 검증한다.</x:v>
      </x:c>
      <x:c r="D67" s="24" t="str">
        <x:v>계획</x:v>
      </x:c>
      <x:c r="E67" s="22"/>
      <x:c r="F67" s="22"/>
      <x:c r="G67" s="22"/>
      <x:c r="H67" s="27" t="n">
        <x:v>1</x:v>
      </x:c>
      <x:c r="I67" s="27" t="n">
        <x:v>1</x:v>
      </x:c>
      <x:c r="J67" s="27" t="n">
        <x:v>1</x:v>
      </x:c>
      <x:c r="K67" s="27" t="n">
        <x:v>1</x:v>
      </x:c>
      <x:c r="L67" s="27" t="n">
        <x:v>1</x:v>
      </x:c>
      <x:c r="M67" s="27" t="n">
        <x:v>1</x:v>
      </x:c>
      <x:c r="N67" s="27" t="n">
        <x:v>1</x:v>
      </x:c>
      <x:c r="O67" s="45" t="n">
        <x:v>1</x:v>
      </x:c>
      <x:c r="P67" s="27" t="n">
        <x:v>1</x:v>
      </x:c>
      <x:c r="Q67" s="27" t="n">
        <x:v>1</x:v>
      </x:c>
      <x:c r="R67" s="27" t="n">
        <x:v>1</x:v>
      </x:c>
      <x:c r="S67" s="27" t="n">
        <x:v>1</x:v>
      </x:c>
      <x:c r="T67" s="27" t="n">
        <x:v>1</x:v>
      </x:c>
      <x:c r="U67" s="27" t="n">
        <x:v>1</x:v>
      </x:c>
      <x:c r="V67" s="27" t="n">
        <x:v>1</x:v>
      </x:c>
      <x:c r="W67" s="27" t="n">
        <x:v>1</x:v>
      </x:c>
      <x:c r="X67" s="22"/>
      <x:c r="Y67" s="22"/>
      <x:c r="Z67" s="22"/>
      <x:c r="AA67" s="22"/>
      <x:c r="AB67" s="22"/>
      <x:c r="AC67" s="22"/>
      <x:c r="AD67" s="22"/>
      <x:c r="AE67" s="22"/>
      <x:c r="AF67" s="22"/>
    </x:row>
    <x:row r="68" ht="22" customHeight="1">
      <x:c r="A68" s="22"/>
      <x:c r="B68" s="23"/>
      <x:c r="C68" s="23"/>
      <x:c r="D68" s="24" t="str">
        <x:v>실적</x:v>
      </x:c>
      <x:c r="E68" s="22"/>
      <x:c r="F68" s="22"/>
      <x:c r="G68" s="22"/>
      <x:c r="H68" s="30" t="n">
        <x:v>1</x:v>
      </x:c>
      <x:c r="I68" s="30" t="n">
        <x:v>1</x:v>
      </x:c>
      <x:c r="J68" s="30" t="n">
        <x:v>1</x:v>
      </x:c>
      <x:c r="K68" s="30" t="n">
        <x:v>1</x:v>
      </x:c>
      <x:c r="L68" s="30" t="n">
        <x:v>1</x:v>
      </x:c>
      <x:c r="M68" s="30" t="n">
        <x:v>1</x:v>
      </x:c>
      <x:c r="N68" s="30" t="n">
        <x:v>1</x:v>
      </x:c>
      <x:c r="O68" s="44"/>
      <x:c r="P68" s="22"/>
      <x:c r="Q68" s="22"/>
      <x:c r="R68" s="22"/>
      <x:c r="S68" s="22"/>
      <x:c r="T68" s="22"/>
      <x:c r="U68" s="22"/>
      <x:c r="V68" s="22"/>
      <x:c r="W68" s="22"/>
      <x:c r="X68" s="22"/>
      <x:c r="Y68" s="22"/>
      <x:c r="Z68" s="22"/>
      <x:c r="AA68" s="22"/>
      <x:c r="AB68" s="22"/>
      <x:c r="AC68" s="22"/>
      <x:c r="AD68" s="22"/>
      <x:c r="AE68" s="22"/>
      <x:c r="AF68" s="22"/>
    </x:row>
    <x:row r="69" ht="22" customHeight="1">
      <x:c r="A69" s="22"/>
      <x:c r="B69" s="23" t="str">
        <x:v>06-03 TEG 가공</x:v>
      </x:c>
      <x:c r="C69" s="23" t="str">
        <x:v>TEG 전용 Recipe·위치·Offset·4 Camera 영역 STEP 가공/검사를 신규 구현한다.</x:v>
      </x:c>
      <x:c r="D69" s="24" t="str">
        <x:v>계획</x:v>
      </x:c>
      <x:c r="E69" s="22"/>
      <x:c r="F69" s="22"/>
      <x:c r="G69" s="22"/>
      <x:c r="H69" s="22"/>
      <x:c r="I69" s="22"/>
      <x:c r="J69" s="22"/>
      <x:c r="K69" s="22"/>
      <x:c r="L69" s="22"/>
      <x:c r="M69" s="22"/>
      <x:c r="N69" s="22"/>
      <x:c r="O69" s="44"/>
      <x:c r="P69" s="22"/>
      <x:c r="Q69" s="27" t="n">
        <x:v>1</x:v>
      </x:c>
      <x:c r="R69" s="27" t="n">
        <x:v>1</x:v>
      </x:c>
      <x:c r="S69" s="27" t="n">
        <x:v>1</x:v>
      </x:c>
      <x:c r="T69" s="27" t="n">
        <x:v>1</x:v>
      </x:c>
      <x:c r="U69" s="27" t="n">
        <x:v>1</x:v>
      </x:c>
      <x:c r="V69" s="27" t="n">
        <x:v>1</x:v>
      </x:c>
      <x:c r="W69" s="27" t="n">
        <x:v>1</x:v>
      </x:c>
      <x:c r="X69" s="27" t="n">
        <x:v>1</x:v>
      </x:c>
      <x:c r="Y69" s="27" t="n">
        <x:v>1</x:v>
      </x:c>
      <x:c r="Z69" s="27" t="n">
        <x:v>1</x:v>
      </x:c>
      <x:c r="AA69" s="27" t="n">
        <x:v>1</x:v>
      </x:c>
      <x:c r="AB69" s="27" t="n">
        <x:v>1</x:v>
      </x:c>
      <x:c r="AC69" s="22"/>
      <x:c r="AD69" s="22"/>
      <x:c r="AE69" s="22"/>
      <x:c r="AF69" s="22"/>
    </x:row>
    <x:row r="70" ht="22" customHeight="1">
      <x:c r="A70" s="22"/>
      <x:c r="B70" s="23"/>
      <x:c r="C70" s="23"/>
      <x:c r="D70" s="24" t="str">
        <x:v>실적</x:v>
      </x:c>
      <x:c r="E70" s="22"/>
      <x:c r="F70" s="22"/>
      <x:c r="G70" s="22"/>
      <x:c r="H70" s="22"/>
      <x:c r="I70" s="22"/>
      <x:c r="J70" s="22"/>
      <x:c r="K70" s="22"/>
      <x:c r="L70" s="22"/>
      <x:c r="M70" s="22"/>
      <x:c r="N70" s="22"/>
      <x:c r="O70" s="44"/>
      <x:c r="P70" s="22"/>
      <x:c r="Q70" s="22"/>
      <x:c r="R70" s="22"/>
      <x:c r="S70" s="22"/>
      <x:c r="T70" s="22"/>
      <x:c r="U70" s="22"/>
      <x:c r="V70" s="22"/>
      <x:c r="W70" s="22"/>
      <x:c r="X70" s="22"/>
      <x:c r="Y70" s="22"/>
      <x:c r="Z70" s="22"/>
      <x:c r="AA70" s="22"/>
      <x:c r="AB70" s="22"/>
      <x:c r="AC70" s="22"/>
      <x:c r="AD70" s="22"/>
      <x:c r="AE70" s="22"/>
      <x:c r="AF70" s="22"/>
    </x:row>
    <x:row r="71" ht="22" customHeight="1">
      <x:c r="A71" s="22"/>
      <x:c r="B71" s="23" t="str">
        <x:v>06-04 Manual IOF·P-to-P 검사</x:v>
      </x:c>
      <x:c r="C71" s="23" t="str">
        <x:v>절대/상대 좌표, Camera Pixel-to-mm, 결과 저장과 Repeatability 판정을 구현한다.</x:v>
      </x:c>
      <x:c r="D71" s="24" t="str">
        <x:v>계획</x:v>
      </x:c>
      <x:c r="E71" s="22"/>
      <x:c r="F71" s="22"/>
      <x:c r="G71" s="22"/>
      <x:c r="H71" s="22"/>
      <x:c r="I71" s="22"/>
      <x:c r="J71" s="22"/>
      <x:c r="K71" s="22"/>
      <x:c r="L71" s="22"/>
      <x:c r="M71" s="22"/>
      <x:c r="N71" s="27" t="n">
        <x:v>1</x:v>
      </x:c>
      <x:c r="O71" s="45" t="n">
        <x:v>1</x:v>
      </x:c>
      <x:c r="P71" s="27" t="n">
        <x:v>1</x:v>
      </x:c>
      <x:c r="Q71" s="27" t="n">
        <x:v>1</x:v>
      </x:c>
      <x:c r="R71" s="27" t="n">
        <x:v>1</x:v>
      </x:c>
      <x:c r="S71" s="27" t="n">
        <x:v>1</x:v>
      </x:c>
      <x:c r="T71" s="27" t="n">
        <x:v>1</x:v>
      </x:c>
      <x:c r="U71" s="27" t="n">
        <x:v>1</x:v>
      </x:c>
      <x:c r="V71" s="27" t="n">
        <x:v>1</x:v>
      </x:c>
      <x:c r="W71" s="27" t="n">
        <x:v>1</x:v>
      </x:c>
      <x:c r="X71" s="27" t="n">
        <x:v>1</x:v>
      </x:c>
      <x:c r="Y71" s="27" t="n">
        <x:v>1</x:v>
      </x:c>
      <x:c r="Z71" s="27" t="n">
        <x:v>1</x:v>
      </x:c>
      <x:c r="AA71" s="22"/>
      <x:c r="AB71" s="22"/>
      <x:c r="AC71" s="22"/>
      <x:c r="AD71" s="22"/>
      <x:c r="AE71" s="22"/>
      <x:c r="AF71" s="22"/>
    </x:row>
    <x:row r="72" ht="22" customHeight="1">
      <x:c r="A72" s="22"/>
      <x:c r="B72" s="23"/>
      <x:c r="C72" s="23"/>
      <x:c r="D72" s="24" t="str">
        <x:v>실적</x:v>
      </x:c>
      <x:c r="E72" s="22"/>
      <x:c r="F72" s="22"/>
      <x:c r="G72" s="22"/>
      <x:c r="H72" s="22"/>
      <x:c r="I72" s="22"/>
      <x:c r="J72" s="22"/>
      <x:c r="K72" s="22"/>
      <x:c r="L72" s="22"/>
      <x:c r="M72" s="22"/>
      <x:c r="N72" s="30" t="n">
        <x:v>1</x:v>
      </x:c>
      <x:c r="O72" s="47" t="n">
        <x:v>1</x:v>
      </x:c>
      <x:c r="P72" s="22"/>
      <x:c r="Q72" s="22"/>
      <x:c r="R72" s="22"/>
      <x:c r="S72" s="22"/>
      <x:c r="T72" s="22"/>
      <x:c r="U72" s="22"/>
      <x:c r="V72" s="22"/>
      <x:c r="W72" s="22"/>
      <x:c r="X72" s="22"/>
      <x:c r="Y72" s="22"/>
      <x:c r="Z72" s="22"/>
      <x:c r="AA72" s="22"/>
      <x:c r="AB72" s="22"/>
      <x:c r="AC72" s="22"/>
      <x:c r="AD72" s="22"/>
      <x:c r="AE72" s="22"/>
      <x:c r="AF72" s="22"/>
    </x:row>
    <x:row r="73" ht="22" customHeight="1">
      <x:c r="A73" s="22"/>
      <x:c r="B73" s="23" t="str">
        <x:v>06-05 Flying 검사</x:v>
      </x:c>
      <x:c r="C73" s="23" t="str">
        <x:v>Stage 이동 중 Trigger·영상·Scanner 좌표를 동기화하고 위치오차·누락률을 판정한다.</x:v>
      </x:c>
      <x:c r="D73" s="24" t="str">
        <x:v>계획</x:v>
      </x:c>
      <x:c r="E73" s="22"/>
      <x:c r="F73" s="22"/>
      <x:c r="G73" s="22"/>
      <x:c r="H73" s="22"/>
      <x:c r="I73" s="22"/>
      <x:c r="J73" s="22"/>
      <x:c r="K73" s="22"/>
      <x:c r="L73" s="22"/>
      <x:c r="M73" s="22"/>
      <x:c r="N73" s="22"/>
      <x:c r="O73" s="44"/>
      <x:c r="P73" s="22"/>
      <x:c r="Q73" s="27" t="n">
        <x:v>1</x:v>
      </x:c>
      <x:c r="R73" s="27" t="n">
        <x:v>1</x:v>
      </x:c>
      <x:c r="S73" s="27" t="n">
        <x:v>1</x:v>
      </x:c>
      <x:c r="T73" s="27" t="n">
        <x:v>1</x:v>
      </x:c>
      <x:c r="U73" s="27" t="n">
        <x:v>1</x:v>
      </x:c>
      <x:c r="V73" s="27" t="n">
        <x:v>1</x:v>
      </x:c>
      <x:c r="W73" s="27" t="n">
        <x:v>1</x:v>
      </x:c>
      <x:c r="X73" s="27" t="n">
        <x:v>1</x:v>
      </x:c>
      <x:c r="Y73" s="27" t="n">
        <x:v>1</x:v>
      </x:c>
      <x:c r="Z73" s="27" t="n">
        <x:v>1</x:v>
      </x:c>
      <x:c r="AA73" s="27" t="n">
        <x:v>1</x:v>
      </x:c>
      <x:c r="AB73" s="27" t="n">
        <x:v>1</x:v>
      </x:c>
      <x:c r="AC73" s="22"/>
      <x:c r="AD73" s="22"/>
      <x:c r="AE73" s="22"/>
      <x:c r="AF73" s="22"/>
    </x:row>
    <x:row r="74" ht="22" customHeight="1">
      <x:c r="A74" s="35"/>
      <x:c r="B74" s="36"/>
      <x:c r="C74" s="36"/>
      <x:c r="D74" s="37" t="str">
        <x:v>실적</x:v>
      </x:c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46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5"/>
      <x:c r="AA74" s="35"/>
      <x:c r="AB74" s="35"/>
      <x:c r="AC74" s="35"/>
      <x:c r="AD74" s="35"/>
      <x:c r="AE74" s="35"/>
      <x:c r="AF74" s="35"/>
    </x:row>
    <x:row r="75" ht="22" customHeight="1">
      <x:c r="A75" s="41" t="str">
        <x:v>07
Align/Inspection/Calibration</x:v>
      </x:c>
      <x:c r="B75" s="32" t="str">
        <x:v>07-01 Cell Align·좌표생성</x:v>
      </x:c>
      <x:c r="C75" s="32" t="str">
        <x:v>Align Key와 첫 Pixel 관계, Cell 시작점·Pitch·Rotation을 확정하고 좌표를 생성한다.</x:v>
      </x:c>
      <x:c r="D75" s="33" t="str">
        <x:v>계획</x:v>
      </x:c>
      <x:c r="E75" s="31"/>
      <x:c r="F75" s="31"/>
      <x:c r="G75" s="34" t="n">
        <x:v>1</x:v>
      </x:c>
      <x:c r="H75" s="34" t="n">
        <x:v>1</x:v>
      </x:c>
      <x:c r="I75" s="34" t="n">
        <x:v>1</x:v>
      </x:c>
      <x:c r="J75" s="34" t="n">
        <x:v>1</x:v>
      </x:c>
      <x:c r="K75" s="34" t="n">
        <x:v>1</x:v>
      </x:c>
      <x:c r="L75" s="34" t="n">
        <x:v>1</x:v>
      </x:c>
      <x:c r="M75" s="34" t="n">
        <x:v>1</x:v>
      </x:c>
      <x:c r="N75" s="34" t="n">
        <x:v>1</x:v>
      </x:c>
      <x:c r="O75" s="43" t="n">
        <x:v>1</x:v>
      </x:c>
      <x:c r="P75" s="34" t="n">
        <x:v>1</x:v>
      </x:c>
      <x:c r="Q75" s="34" t="n">
        <x:v>1</x:v>
      </x:c>
      <x:c r="R75" s="34" t="n">
        <x:v>1</x:v>
      </x:c>
      <x:c r="S75" s="34" t="n">
        <x:v>1</x:v>
      </x:c>
      <x:c r="T75" s="34" t="n">
        <x:v>1</x:v>
      </x:c>
      <x:c r="U75" s="34" t="n">
        <x:v>1</x:v>
      </x:c>
      <x:c r="V75" s="34" t="n">
        <x:v>1</x:v>
      </x:c>
      <x:c r="W75" s="31"/>
      <x:c r="X75" s="31"/>
      <x:c r="Y75" s="31"/>
      <x:c r="Z75" s="31"/>
      <x:c r="AA75" s="31"/>
      <x:c r="AB75" s="31"/>
      <x:c r="AC75" s="31"/>
      <x:c r="AD75" s="31"/>
      <x:c r="AE75" s="31"/>
      <x:c r="AF75" s="31"/>
    </x:row>
    <x:row r="76" ht="22" customHeight="1">
      <x:c r="A76" s="22"/>
      <x:c r="B76" s="23"/>
      <x:c r="C76" s="23"/>
      <x:c r="D76" s="24" t="str">
        <x:v>실적</x:v>
      </x:c>
      <x:c r="E76" s="22"/>
      <x:c r="F76" s="22"/>
      <x:c r="G76" s="30" t="n">
        <x:v>1</x:v>
      </x:c>
      <x:c r="H76" s="30" t="n">
        <x:v>1</x:v>
      </x:c>
      <x:c r="I76" s="30" t="n">
        <x:v>1</x:v>
      </x:c>
      <x:c r="J76" s="30" t="n">
        <x:v>1</x:v>
      </x:c>
      <x:c r="K76" s="30" t="n">
        <x:v>1</x:v>
      </x:c>
      <x:c r="L76" s="30" t="n">
        <x:v>1</x:v>
      </x:c>
      <x:c r="M76" s="22"/>
      <x:c r="N76" s="22"/>
      <x:c r="O76" s="44"/>
      <x:c r="P76" s="22"/>
      <x:c r="Q76" s="22"/>
      <x:c r="R76" s="22"/>
      <x:c r="S76" s="22"/>
      <x:c r="T76" s="22"/>
      <x:c r="U76" s="22"/>
      <x:c r="V76" s="22"/>
      <x:c r="W76" s="22"/>
      <x:c r="X76" s="22"/>
      <x:c r="Y76" s="22"/>
      <x:c r="Z76" s="22"/>
      <x:c r="AA76" s="22"/>
      <x:c r="AB76" s="22"/>
      <x:c r="AC76" s="22"/>
      <x:c r="AD76" s="22"/>
      <x:c r="AE76" s="22"/>
      <x:c r="AF76" s="22"/>
    </x:row>
    <x:row r="77" ht="22" customHeight="1">
      <x:c r="A77" s="22"/>
      <x:c r="B77" s="23" t="str">
        <x:v>07-02 Camera Pixel-to-mm</x:v>
      </x:c>
      <x:c r="C77" s="23" t="str">
        <x:v>각 Camera Pixel-to-mm Scale/Rotation/Skew를 측정·저장·재검증한다.</x:v>
      </x:c>
      <x:c r="D77" s="24" t="str">
        <x:v>계획</x:v>
      </x:c>
      <x:c r="E77" s="22"/>
      <x:c r="F77" s="22"/>
      <x:c r="G77" s="22"/>
      <x:c r="H77" s="22"/>
      <x:c r="I77" s="22"/>
      <x:c r="J77" s="22"/>
      <x:c r="K77" s="22"/>
      <x:c r="L77" s="22"/>
      <x:c r="M77" s="27" t="n">
        <x:v>1</x:v>
      </x:c>
      <x:c r="N77" s="27" t="n">
        <x:v>1</x:v>
      </x:c>
      <x:c r="O77" s="45" t="n">
        <x:v>1</x:v>
      </x:c>
      <x:c r="P77" s="27" t="n">
        <x:v>1</x:v>
      </x:c>
      <x:c r="Q77" s="27" t="n">
        <x:v>1</x:v>
      </x:c>
      <x:c r="R77" s="27" t="n">
        <x:v>1</x:v>
      </x:c>
      <x:c r="S77" s="27" t="n">
        <x:v>1</x:v>
      </x:c>
      <x:c r="T77" s="27" t="n">
        <x:v>1</x:v>
      </x:c>
      <x:c r="U77" s="27" t="n">
        <x:v>1</x:v>
      </x:c>
      <x:c r="V77" s="27" t="n">
        <x:v>1</x:v>
      </x:c>
      <x:c r="W77" s="27" t="n">
        <x:v>1</x:v>
      </x:c>
      <x:c r="X77" s="22"/>
      <x:c r="Y77" s="22"/>
      <x:c r="Z77" s="22"/>
      <x:c r="AA77" s="22"/>
      <x:c r="AB77" s="22"/>
      <x:c r="AC77" s="22"/>
      <x:c r="AD77" s="22"/>
      <x:c r="AE77" s="22"/>
      <x:c r="AF77" s="22"/>
    </x:row>
    <x:row r="78" ht="22" customHeight="1">
      <x:c r="A78" s="22"/>
      <x:c r="B78" s="23"/>
      <x:c r="C78" s="23"/>
      <x:c r="D78" s="24" t="str">
        <x:v>실적</x:v>
      </x:c>
      <x:c r="E78" s="22"/>
      <x:c r="F78" s="22"/>
      <x:c r="G78" s="22"/>
      <x:c r="H78" s="22"/>
      <x:c r="I78" s="22"/>
      <x:c r="J78" s="22"/>
      <x:c r="K78" s="22"/>
      <x:c r="L78" s="22"/>
      <x:c r="M78" s="30" t="n">
        <x:v>1</x:v>
      </x:c>
      <x:c r="N78" s="30" t="n">
        <x:v>1</x:v>
      </x:c>
      <x:c r="O78" s="47" t="n">
        <x:v>1</x:v>
      </x:c>
      <x:c r="P78" s="22"/>
      <x:c r="Q78" s="22"/>
      <x:c r="R78" s="22"/>
      <x:c r="S78" s="22"/>
      <x:c r="T78" s="22"/>
      <x:c r="U78" s="22"/>
      <x:c r="V78" s="22"/>
      <x:c r="W78" s="22"/>
      <x:c r="X78" s="22"/>
      <x:c r="Y78" s="22"/>
      <x:c r="Z78" s="22"/>
      <x:c r="AA78" s="22"/>
      <x:c r="AB78" s="22"/>
      <x:c r="AC78" s="22"/>
      <x:c r="AD78" s="22"/>
      <x:c r="AE78" s="22"/>
      <x:c r="AF78" s="22"/>
    </x:row>
    <x:row r="79" ht="22" customHeight="1">
      <x:c r="A79" s="22"/>
      <x:c r="B79" s="23" t="str">
        <x:v>07-03 Camera-to-Global Calibration</x:v>
      </x:c>
      <x:c r="C79" s="23" t="str">
        <x:v>Camera/Stage/Global 좌표의 Translation·Rotation·Scale을 보정하고 검증 Grid로 잔차를 판정한다.</x:v>
      </x:c>
      <x:c r="D79" s="24" t="str">
        <x:v>계획</x:v>
      </x:c>
      <x:c r="E79" s="22"/>
      <x:c r="F79" s="22"/>
      <x:c r="G79" s="22"/>
      <x:c r="H79" s="22"/>
      <x:c r="I79" s="22"/>
      <x:c r="J79" s="22"/>
      <x:c r="K79" s="22"/>
      <x:c r="L79" s="22"/>
      <x:c r="M79" s="22"/>
      <x:c r="N79" s="27" t="n">
        <x:v>1</x:v>
      </x:c>
      <x:c r="O79" s="45" t="n">
        <x:v>1</x:v>
      </x:c>
      <x:c r="P79" s="27" t="n">
        <x:v>1</x:v>
      </x:c>
      <x:c r="Q79" s="27" t="n">
        <x:v>1</x:v>
      </x:c>
      <x:c r="R79" s="27" t="n">
        <x:v>1</x:v>
      </x:c>
      <x:c r="S79" s="27" t="n">
        <x:v>1</x:v>
      </x:c>
      <x:c r="T79" s="27" t="n">
        <x:v>1</x:v>
      </x:c>
      <x:c r="U79" s="27" t="n">
        <x:v>1</x:v>
      </x:c>
      <x:c r="V79" s="27" t="n">
        <x:v>1</x:v>
      </x:c>
      <x:c r="W79" s="27" t="n">
        <x:v>1</x:v>
      </x:c>
      <x:c r="X79" s="27" t="n">
        <x:v>1</x:v>
      </x:c>
      <x:c r="Y79" s="27" t="n">
        <x:v>1</x:v>
      </x:c>
      <x:c r="Z79" s="22"/>
      <x:c r="AA79" s="22"/>
      <x:c r="AB79" s="22"/>
      <x:c r="AC79" s="22"/>
      <x:c r="AD79" s="22"/>
      <x:c r="AE79" s="22"/>
      <x:c r="AF79" s="22"/>
    </x:row>
    <x:row r="80" ht="22" customHeight="1">
      <x:c r="A80" s="22"/>
      <x:c r="B80" s="23"/>
      <x:c r="C80" s="23"/>
      <x:c r="D80" s="24" t="str">
        <x:v>실적</x:v>
      </x:c>
      <x:c r="E80" s="22"/>
      <x:c r="F80" s="22"/>
      <x:c r="G80" s="22"/>
      <x:c r="H80" s="22"/>
      <x:c r="I80" s="22"/>
      <x:c r="J80" s="22"/>
      <x:c r="K80" s="22"/>
      <x:c r="L80" s="22"/>
      <x:c r="M80" s="22"/>
      <x:c r="N80" s="30" t="n">
        <x:v>1</x:v>
      </x:c>
      <x:c r="O80" s="47" t="n">
        <x:v>1</x:v>
      </x:c>
      <x:c r="P80" s="22"/>
      <x:c r="Q80" s="22"/>
      <x:c r="R80" s="22"/>
      <x:c r="S80" s="22"/>
      <x:c r="T80" s="22"/>
      <x:c r="U80" s="22"/>
      <x:c r="V80" s="22"/>
      <x:c r="W80" s="22"/>
      <x:c r="X80" s="22"/>
      <x:c r="Y80" s="22"/>
      <x:c r="Z80" s="22"/>
      <x:c r="AA80" s="22"/>
      <x:c r="AB80" s="22"/>
      <x:c r="AC80" s="22"/>
      <x:c r="AD80" s="22"/>
      <x:c r="AE80" s="22"/>
      <x:c r="AF80" s="22"/>
    </x:row>
    <x:row r="81" ht="22" customHeight="1">
      <x:c r="A81" s="22"/>
      <x:c r="B81" s="23" t="str">
        <x:v>07-04 Review 기준점·Branch</x:v>
      </x:c>
      <x:c r="C81" s="23" t="str">
        <x:v>DOE 16 Branch 기준점, 3줄 구성과 Review 기준 Branch·선택 규칙을 확정한다.</x:v>
      </x:c>
      <x:c r="D81" s="24" t="str">
        <x:v>계획</x:v>
      </x:c>
      <x:c r="E81" s="22"/>
      <x:c r="F81" s="22"/>
      <x:c r="G81" s="22"/>
      <x:c r="H81" s="22"/>
      <x:c r="I81" s="22"/>
      <x:c r="J81" s="22"/>
      <x:c r="K81" s="22"/>
      <x:c r="L81" s="22"/>
      <x:c r="M81" s="27" t="n">
        <x:v>1</x:v>
      </x:c>
      <x:c r="N81" s="27" t="n">
        <x:v>1</x:v>
      </x:c>
      <x:c r="O81" s="45" t="n">
        <x:v>1</x:v>
      </x:c>
      <x:c r="P81" s="27" t="n">
        <x:v>1</x:v>
      </x:c>
      <x:c r="Q81" s="27" t="n">
        <x:v>1</x:v>
      </x:c>
      <x:c r="R81" s="27" t="n">
        <x:v>1</x:v>
      </x:c>
      <x:c r="S81" s="27" t="n">
        <x:v>1</x:v>
      </x:c>
      <x:c r="T81" s="27" t="n">
        <x:v>1</x:v>
      </x:c>
      <x:c r="U81" s="27" t="n">
        <x:v>1</x:v>
      </x:c>
      <x:c r="V81" s="27" t="n">
        <x:v>1</x:v>
      </x:c>
      <x:c r="W81" s="27" t="n">
        <x:v>1</x:v>
      </x:c>
      <x:c r="X81" s="22"/>
      <x:c r="Y81" s="22"/>
      <x:c r="Z81" s="22"/>
      <x:c r="AA81" s="22"/>
      <x:c r="AB81" s="22"/>
      <x:c r="AC81" s="22"/>
      <x:c r="AD81" s="22"/>
      <x:c r="AE81" s="22"/>
      <x:c r="AF81" s="22"/>
    </x:row>
    <x:row r="82" ht="22" customHeight="1">
      <x:c r="A82" s="22"/>
      <x:c r="B82" s="23"/>
      <x:c r="C82" s="23"/>
      <x:c r="D82" s="24" t="str">
        <x:v>실적</x:v>
      </x:c>
      <x:c r="E82" s="22"/>
      <x:c r="F82" s="22"/>
      <x:c r="G82" s="22"/>
      <x:c r="H82" s="22"/>
      <x:c r="I82" s="22"/>
      <x:c r="J82" s="22"/>
      <x:c r="K82" s="22"/>
      <x:c r="L82" s="22"/>
      <x:c r="M82" s="30" t="n">
        <x:v>1</x:v>
      </x:c>
      <x:c r="N82" s="30" t="n">
        <x:v>1</x:v>
      </x:c>
      <x:c r="O82" s="47" t="n">
        <x:v>1</x:v>
      </x:c>
      <x:c r="P82" s="22"/>
      <x:c r="Q82" s="22"/>
      <x:c r="R82" s="22"/>
      <x:c r="S82" s="22"/>
      <x:c r="T82" s="22"/>
      <x:c r="U82" s="22"/>
      <x:c r="V82" s="22"/>
      <x:c r="W82" s="22"/>
      <x:c r="X82" s="22"/>
      <x:c r="Y82" s="22"/>
      <x:c r="Z82" s="22"/>
      <x:c r="AA82" s="22"/>
      <x:c r="AB82" s="22"/>
      <x:c r="AC82" s="22"/>
      <x:c r="AD82" s="22"/>
      <x:c r="AE82" s="22"/>
      <x:c r="AF82" s="22"/>
    </x:row>
    <x:row r="83" ht="22" customHeight="1">
      <x:c r="A83" s="22"/>
      <x:c r="B83" s="23" t="str">
        <x:v>07-05 Review 계획·측정·재검사</x:v>
      </x:c>
      <x:c r="C83" s="23" t="str">
        <x:v>Review Point 생성, Move/Trigger/Measure/Result/Retry와 수동 재검사를 실장비로 검증한다.</x:v>
      </x:c>
      <x:c r="D83" s="24" t="str">
        <x:v>계획</x:v>
      </x:c>
      <x:c r="E83" s="22"/>
      <x:c r="F83" s="22"/>
      <x:c r="G83" s="22"/>
      <x:c r="H83" s="22"/>
      <x:c r="I83" s="27" t="n">
        <x:v>1</x:v>
      </x:c>
      <x:c r="J83" s="27" t="n">
        <x:v>1</x:v>
      </x:c>
      <x:c r="K83" s="27" t="n">
        <x:v>1</x:v>
      </x:c>
      <x:c r="L83" s="27" t="n">
        <x:v>1</x:v>
      </x:c>
      <x:c r="M83" s="27" t="n">
        <x:v>1</x:v>
      </x:c>
      <x:c r="N83" s="27" t="n">
        <x:v>1</x:v>
      </x:c>
      <x:c r="O83" s="45" t="n">
        <x:v>1</x:v>
      </x:c>
      <x:c r="P83" s="27" t="n">
        <x:v>1</x:v>
      </x:c>
      <x:c r="Q83" s="27" t="n">
        <x:v>1</x:v>
      </x:c>
      <x:c r="R83" s="27" t="n">
        <x:v>1</x:v>
      </x:c>
      <x:c r="S83" s="27" t="n">
        <x:v>1</x:v>
      </x:c>
      <x:c r="T83" s="27" t="n">
        <x:v>1</x:v>
      </x:c>
      <x:c r="U83" s="27" t="n">
        <x:v>1</x:v>
      </x:c>
      <x:c r="V83" s="27" t="n">
        <x:v>1</x:v>
      </x:c>
      <x:c r="W83" s="27" t="n">
        <x:v>1</x:v>
      </x:c>
      <x:c r="X83" s="27" t="n">
        <x:v>1</x:v>
      </x:c>
      <x:c r="Y83" s="27" t="n">
        <x:v>1</x:v>
      </x:c>
      <x:c r="Z83" s="27" t="n">
        <x:v>1</x:v>
      </x:c>
      <x:c r="AA83" s="22"/>
      <x:c r="AB83" s="22"/>
      <x:c r="AC83" s="22"/>
      <x:c r="AD83" s="22"/>
      <x:c r="AE83" s="22"/>
      <x:c r="AF83" s="22"/>
    </x:row>
    <x:row r="84" ht="22" customHeight="1">
      <x:c r="A84" s="22"/>
      <x:c r="B84" s="23"/>
      <x:c r="C84" s="23"/>
      <x:c r="D84" s="24" t="str">
        <x:v>실적</x:v>
      </x:c>
      <x:c r="E84" s="22"/>
      <x:c r="F84" s="22"/>
      <x:c r="G84" s="22"/>
      <x:c r="H84" s="22"/>
      <x:c r="I84" s="30" t="n">
        <x:v>1</x:v>
      </x:c>
      <x:c r="J84" s="30" t="n">
        <x:v>1</x:v>
      </x:c>
      <x:c r="K84" s="30" t="n">
        <x:v>1</x:v>
      </x:c>
      <x:c r="L84" s="30" t="n">
        <x:v>1</x:v>
      </x:c>
      <x:c r="M84" s="30" t="n">
        <x:v>1</x:v>
      </x:c>
      <x:c r="N84" s="30" t="n">
        <x:v>1</x:v>
      </x:c>
      <x:c r="O84" s="44"/>
      <x:c r="P84" s="22"/>
      <x:c r="Q84" s="22"/>
      <x:c r="R84" s="22"/>
      <x:c r="S84" s="22"/>
      <x:c r="T84" s="22"/>
      <x:c r="U84" s="22"/>
      <x:c r="V84" s="22"/>
      <x:c r="W84" s="22"/>
      <x:c r="X84" s="22"/>
      <x:c r="Y84" s="22"/>
      <x:c r="Z84" s="22"/>
      <x:c r="AA84" s="22"/>
      <x:c r="AB84" s="22"/>
      <x:c r="AC84" s="22"/>
      <x:c r="AD84" s="22"/>
      <x:c r="AE84" s="22"/>
      <x:c r="AF84" s="22"/>
    </x:row>
    <x:row r="85" ht="22" customHeight="1">
      <x:c r="A85" s="22"/>
      <x:c r="B85" s="23" t="str">
        <x:v>07-06 Review Offset 누적·방향</x:v>
      </x:c>
      <x:c r="C85" s="23" t="str">
        <x:v>측정 Offset의 좌표변환, 누적/상한/방향, Recipe/가공 반영 순서와 원복을 확정한다.</x:v>
      </x:c>
      <x:c r="D85" s="24" t="str">
        <x:v>계획</x:v>
      </x:c>
      <x:c r="E85" s="22"/>
      <x:c r="F85" s="22"/>
      <x:c r="G85" s="22"/>
      <x:c r="H85" s="22"/>
      <x:c r="I85" s="22"/>
      <x:c r="J85" s="22"/>
      <x:c r="K85" s="22"/>
      <x:c r="L85" s="22"/>
      <x:c r="M85" s="22"/>
      <x:c r="N85" s="27" t="n">
        <x:v>1</x:v>
      </x:c>
      <x:c r="O85" s="45" t="n">
        <x:v>1</x:v>
      </x:c>
      <x:c r="P85" s="27" t="n">
        <x:v>1</x:v>
      </x:c>
      <x:c r="Q85" s="27" t="n">
        <x:v>1</x:v>
      </x:c>
      <x:c r="R85" s="27" t="n">
        <x:v>1</x:v>
      </x:c>
      <x:c r="S85" s="27" t="n">
        <x:v>1</x:v>
      </x:c>
      <x:c r="T85" s="27" t="n">
        <x:v>1</x:v>
      </x:c>
      <x:c r="U85" s="27" t="n">
        <x:v>1</x:v>
      </x:c>
      <x:c r="V85" s="27" t="n">
        <x:v>1</x:v>
      </x:c>
      <x:c r="W85" s="27" t="n">
        <x:v>1</x:v>
      </x:c>
      <x:c r="X85" s="27" t="n">
        <x:v>1</x:v>
      </x:c>
      <x:c r="Y85" s="27" t="n">
        <x:v>1</x:v>
      </x:c>
      <x:c r="Z85" s="27" t="n">
        <x:v>1</x:v>
      </x:c>
      <x:c r="AA85" s="22"/>
      <x:c r="AB85" s="22"/>
      <x:c r="AC85" s="22"/>
      <x:c r="AD85" s="22"/>
      <x:c r="AE85" s="22"/>
      <x:c r="AF85" s="22"/>
    </x:row>
    <x:row r="86" ht="22" customHeight="1">
      <x:c r="A86" s="22"/>
      <x:c r="B86" s="23"/>
      <x:c r="C86" s="23"/>
      <x:c r="D86" s="24" t="str">
        <x:v>실적</x:v>
      </x:c>
      <x:c r="E86" s="22"/>
      <x:c r="F86" s="22"/>
      <x:c r="G86" s="22"/>
      <x:c r="H86" s="22"/>
      <x:c r="I86" s="22"/>
      <x:c r="J86" s="22"/>
      <x:c r="K86" s="22"/>
      <x:c r="L86" s="22"/>
      <x:c r="M86" s="22"/>
      <x:c r="N86" s="30" t="n">
        <x:v>1</x:v>
      </x:c>
      <x:c r="O86" s="47" t="n">
        <x:v>1</x:v>
      </x:c>
      <x:c r="P86" s="22"/>
      <x:c r="Q86" s="22"/>
      <x:c r="R86" s="22"/>
      <x:c r="S86" s="22"/>
      <x:c r="T86" s="22"/>
      <x:c r="U86" s="22"/>
      <x:c r="V86" s="22"/>
      <x:c r="W86" s="22"/>
      <x:c r="X86" s="22"/>
      <x:c r="Y86" s="22"/>
      <x:c r="Z86" s="22"/>
      <x:c r="AA86" s="22"/>
      <x:c r="AB86" s="22"/>
      <x:c r="AC86" s="22"/>
      <x:c r="AD86" s="22"/>
      <x:c r="AE86" s="22"/>
      <x:c r="AF86" s="22"/>
    </x:row>
    <x:row r="87" ht="22" customHeight="1">
      <x:c r="A87" s="22"/>
      <x:c r="B87" s="23" t="str">
        <x:v>07-07 Rough/Simple/Fine 보정</x:v>
      </x:c>
      <x:c r="C87" s="23" t="str">
        <x:v>단계별 측정점, Tolerance, Min/Max, 반복 종료·실패 Alarm과 산출 데이터를 정의·검증한다.</x:v>
      </x:c>
      <x:c r="D87" s="24" t="str">
        <x:v>계획</x:v>
      </x:c>
      <x:c r="E87" s="22"/>
      <x:c r="F87" s="22"/>
      <x:c r="G87" s="22"/>
      <x:c r="H87" s="22"/>
      <x:c r="I87" s="22"/>
      <x:c r="J87" s="22"/>
      <x:c r="K87" s="22"/>
      <x:c r="L87" s="22"/>
      <x:c r="M87" s="22"/>
      <x:c r="N87" s="22"/>
      <x:c r="O87" s="45" t="n">
        <x:v>1</x:v>
      </x:c>
      <x:c r="P87" s="27" t="n">
        <x:v>1</x:v>
      </x:c>
      <x:c r="Q87" s="27" t="n">
        <x:v>1</x:v>
      </x:c>
      <x:c r="R87" s="27" t="n">
        <x:v>1</x:v>
      </x:c>
      <x:c r="S87" s="27" t="n">
        <x:v>1</x:v>
      </x:c>
      <x:c r="T87" s="27" t="n">
        <x:v>1</x:v>
      </x:c>
      <x:c r="U87" s="27" t="n">
        <x:v>1</x:v>
      </x:c>
      <x:c r="V87" s="27" t="n">
        <x:v>1</x:v>
      </x:c>
      <x:c r="W87" s="27" t="n">
        <x:v>1</x:v>
      </x:c>
      <x:c r="X87" s="27" t="n">
        <x:v>1</x:v>
      </x:c>
      <x:c r="Y87" s="27" t="n">
        <x:v>1</x:v>
      </x:c>
      <x:c r="Z87" s="27" t="n">
        <x:v>1</x:v>
      </x:c>
      <x:c r="AA87" s="27" t="n">
        <x:v>1</x:v>
      </x:c>
      <x:c r="AB87" s="22"/>
      <x:c r="AC87" s="22"/>
      <x:c r="AD87" s="22"/>
      <x:c r="AE87" s="22"/>
      <x:c r="AF87" s="22"/>
    </x:row>
    <x:row r="88" ht="22" customHeight="1">
      <x:c r="A88" s="22"/>
      <x:c r="B88" s="23"/>
      <x:c r="C88" s="23"/>
      <x:c r="D88" s="24" t="str">
        <x:v>실적</x:v>
      </x:c>
      <x:c r="E88" s="22"/>
      <x:c r="F88" s="22"/>
      <x:c r="G88" s="22"/>
      <x:c r="H88" s="22"/>
      <x:c r="I88" s="22"/>
      <x:c r="J88" s="22"/>
      <x:c r="K88" s="22"/>
      <x:c r="L88" s="22"/>
      <x:c r="M88" s="22"/>
      <x:c r="N88" s="22"/>
      <x:c r="O88" s="47" t="n">
        <x:v>1</x:v>
      </x:c>
      <x:c r="P88" s="22"/>
      <x:c r="Q88" s="22"/>
      <x:c r="R88" s="22"/>
      <x:c r="S88" s="22"/>
      <x:c r="T88" s="22"/>
      <x:c r="U88" s="22"/>
      <x:c r="V88" s="22"/>
      <x:c r="W88" s="22"/>
      <x:c r="X88" s="22"/>
      <x:c r="Y88" s="22"/>
      <x:c r="Z88" s="22"/>
      <x:c r="AA88" s="22"/>
      <x:c r="AB88" s="22"/>
      <x:c r="AC88" s="22"/>
      <x:c r="AD88" s="22"/>
      <x:c r="AE88" s="22"/>
      <x:c r="AF88" s="22"/>
    </x:row>
    <x:row r="89" ht="22" customHeight="1">
      <x:c r="A89" s="22"/>
      <x:c r="B89" s="23" t="str">
        <x:v>07-08 동적 보정·가공 Offset</x:v>
      </x:c>
      <x:c r="C89" s="23" t="str">
        <x:v>가공 전/중/후 Review 결과 기반 Offset을 Head/Cell별로 적용하고 방향·누적·한계를 검증한다.</x:v>
      </x:c>
      <x:c r="D89" s="24" t="str">
        <x:v>계획</x:v>
      </x:c>
      <x:c r="E89" s="22"/>
      <x:c r="F89" s="22"/>
      <x:c r="G89" s="22"/>
      <x:c r="H89" s="22"/>
      <x:c r="I89" s="22"/>
      <x:c r="J89" s="22"/>
      <x:c r="K89" s="22"/>
      <x:c r="L89" s="22"/>
      <x:c r="M89" s="22"/>
      <x:c r="N89" s="22"/>
      <x:c r="O89" s="44"/>
      <x:c r="P89" s="27" t="n">
        <x:v>1</x:v>
      </x:c>
      <x:c r="Q89" s="27" t="n">
        <x:v>1</x:v>
      </x:c>
      <x:c r="R89" s="27" t="n">
        <x:v>1</x:v>
      </x:c>
      <x:c r="S89" s="27" t="n">
        <x:v>1</x:v>
      </x:c>
      <x:c r="T89" s="27" t="n">
        <x:v>1</x:v>
      </x:c>
      <x:c r="U89" s="27" t="n">
        <x:v>1</x:v>
      </x:c>
      <x:c r="V89" s="27" t="n">
        <x:v>1</x:v>
      </x:c>
      <x:c r="W89" s="27" t="n">
        <x:v>1</x:v>
      </x:c>
      <x:c r="X89" s="27" t="n">
        <x:v>1</x:v>
      </x:c>
      <x:c r="Y89" s="27" t="n">
        <x:v>1</x:v>
      </x:c>
      <x:c r="Z89" s="27" t="n">
        <x:v>1</x:v>
      </x:c>
      <x:c r="AA89" s="27" t="n">
        <x:v>1</x:v>
      </x:c>
      <x:c r="AB89" s="27" t="n">
        <x:v>1</x:v>
      </x:c>
      <x:c r="AC89" s="22"/>
      <x:c r="AD89" s="22"/>
      <x:c r="AE89" s="22"/>
      <x:c r="AF89" s="22"/>
    </x:row>
    <x:row r="90" ht="22" customHeight="1">
      <x:c r="A90" s="35"/>
      <x:c r="B90" s="36"/>
      <x:c r="C90" s="36"/>
      <x:c r="D90" s="37" t="str">
        <x:v>실적</x:v>
      </x:c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46"/>
      <x:c r="P90" s="35"/>
      <x:c r="Q90" s="35"/>
      <x:c r="R90" s="35"/>
      <x:c r="S90" s="35"/>
      <x:c r="T90" s="35"/>
      <x:c r="U90" s="35"/>
      <x:c r="V90" s="35"/>
      <x:c r="W90" s="35"/>
      <x:c r="X90" s="35"/>
      <x:c r="Y90" s="35"/>
      <x:c r="Z90" s="35"/>
      <x:c r="AA90" s="35"/>
      <x:c r="AB90" s="35"/>
      <x:c r="AC90" s="35"/>
      <x:c r="AD90" s="35"/>
      <x:c r="AE90" s="35"/>
      <x:c r="AF90" s="35"/>
    </x:row>
    <x:row r="91" ht="22" customHeight="1">
      <x:c r="A91" s="41" t="str">
        <x:v>08
Scanner/MOF/Coordinate</x:v>
      </x:c>
      <x:c r="B91" s="32" t="str">
        <x:v>08-01 Scanner별 Cell 영역 분할</x:v>
      </x:c>
      <x:c r="C91" s="32" t="str">
        <x:v>Glass Cell을 8 Scanner에 배분하고 경계/미사용 Head/미가공 영역 처리 규칙을 확정한다.</x:v>
      </x:c>
      <x:c r="D91" s="33" t="str">
        <x:v>계획</x:v>
      </x:c>
      <x:c r="E91" s="31"/>
      <x:c r="F91" s="31"/>
      <x:c r="G91" s="34" t="n">
        <x:v>1</x:v>
      </x:c>
      <x:c r="H91" s="34" t="n">
        <x:v>1</x:v>
      </x:c>
      <x:c r="I91" s="34" t="n">
        <x:v>1</x:v>
      </x:c>
      <x:c r="J91" s="34" t="n">
        <x:v>1</x:v>
      </x:c>
      <x:c r="K91" s="34" t="n">
        <x:v>1</x:v>
      </x:c>
      <x:c r="L91" s="34" t="n">
        <x:v>1</x:v>
      </x:c>
      <x:c r="M91" s="34" t="n">
        <x:v>1</x:v>
      </x:c>
      <x:c r="N91" s="34" t="n">
        <x:v>1</x:v>
      </x:c>
      <x:c r="O91" s="43" t="n">
        <x:v>1</x:v>
      </x:c>
      <x:c r="P91" s="34" t="n">
        <x:v>1</x:v>
      </x:c>
      <x:c r="Q91" s="34" t="n">
        <x:v>1</x:v>
      </x:c>
      <x:c r="R91" s="34" t="n">
        <x:v>1</x:v>
      </x:c>
      <x:c r="S91" s="34" t="n">
        <x:v>1</x:v>
      </x:c>
      <x:c r="T91" s="34" t="n">
        <x:v>1</x:v>
      </x:c>
      <x:c r="U91" s="34" t="n">
        <x:v>1</x:v>
      </x:c>
      <x:c r="V91" s="34" t="n">
        <x:v>1</x:v>
      </x:c>
      <x:c r="W91" s="31"/>
      <x:c r="X91" s="31"/>
      <x:c r="Y91" s="31"/>
      <x:c r="Z91" s="31"/>
      <x:c r="AA91" s="31"/>
      <x:c r="AB91" s="31"/>
      <x:c r="AC91" s="31"/>
      <x:c r="AD91" s="31"/>
      <x:c r="AE91" s="31"/>
      <x:c r="AF91" s="31"/>
    </x:row>
    <x:row r="92" ht="22" customHeight="1">
      <x:c r="A92" s="22"/>
      <x:c r="B92" s="23"/>
      <x:c r="C92" s="23"/>
      <x:c r="D92" s="24" t="str">
        <x:v>실적</x:v>
      </x:c>
      <x:c r="E92" s="22"/>
      <x:c r="F92" s="22"/>
      <x:c r="G92" s="30" t="n">
        <x:v>1</x:v>
      </x:c>
      <x:c r="H92" s="30" t="n">
        <x:v>1</x:v>
      </x:c>
      <x:c r="I92" s="30" t="n">
        <x:v>1</x:v>
      </x:c>
      <x:c r="J92" s="30" t="n">
        <x:v>1</x:v>
      </x:c>
      <x:c r="K92" s="30" t="n">
        <x:v>1</x:v>
      </x:c>
      <x:c r="L92" s="30" t="n">
        <x:v>1</x:v>
      </x:c>
      <x:c r="M92" s="22"/>
      <x:c r="N92" s="22"/>
      <x:c r="O92" s="44"/>
      <x:c r="P92" s="22"/>
      <x:c r="Q92" s="22"/>
      <x:c r="R92" s="22"/>
      <x:c r="S92" s="22"/>
      <x:c r="T92" s="22"/>
      <x:c r="U92" s="22"/>
      <x:c r="V92" s="22"/>
      <x:c r="W92" s="22"/>
      <x:c r="X92" s="22"/>
      <x:c r="Y92" s="22"/>
      <x:c r="Z92" s="22"/>
      <x:c r="AA92" s="22"/>
      <x:c r="AB92" s="22"/>
      <x:c r="AC92" s="22"/>
      <x:c r="AD92" s="22"/>
      <x:c r="AE92" s="22"/>
      <x:c r="AF92" s="22"/>
    </x:row>
    <x:row r="93" ht="22" customHeight="1">
      <x:c r="A93" s="22"/>
      <x:c r="B93" s="23" t="str">
        <x:v>08-02 Default Offset·Virtual Origin</x:v>
      </x:c>
      <x:c r="C93" s="23" t="str">
        <x:v>Scanner별 Default Offset으로 Gap을 정규화하고 Virtual Origin/공통 Shift/Rotation 적용순서를 확정한다.</x:v>
      </x:c>
      <x:c r="D93" s="24" t="str">
        <x:v>계획</x:v>
      </x:c>
      <x:c r="E93" s="22"/>
      <x:c r="F93" s="22"/>
      <x:c r="G93" s="22"/>
      <x:c r="H93" s="27" t="n">
        <x:v>1</x:v>
      </x:c>
      <x:c r="I93" s="27" t="n">
        <x:v>1</x:v>
      </x:c>
      <x:c r="J93" s="27" t="n">
        <x:v>1</x:v>
      </x:c>
      <x:c r="K93" s="27" t="n">
        <x:v>1</x:v>
      </x:c>
      <x:c r="L93" s="27" t="n">
        <x:v>1</x:v>
      </x:c>
      <x:c r="M93" s="27" t="n">
        <x:v>1</x:v>
      </x:c>
      <x:c r="N93" s="27" t="n">
        <x:v>1</x:v>
      </x:c>
      <x:c r="O93" s="45" t="n">
        <x:v>1</x:v>
      </x:c>
      <x:c r="P93" s="27" t="n">
        <x:v>1</x:v>
      </x:c>
      <x:c r="Q93" s="27" t="n">
        <x:v>1</x:v>
      </x:c>
      <x:c r="R93" s="27" t="n">
        <x:v>1</x:v>
      </x:c>
      <x:c r="S93" s="27" t="n">
        <x:v>1</x:v>
      </x:c>
      <x:c r="T93" s="27" t="n">
        <x:v>1</x:v>
      </x:c>
      <x:c r="U93" s="27" t="n">
        <x:v>1</x:v>
      </x:c>
      <x:c r="V93" s="27" t="n">
        <x:v>1</x:v>
      </x:c>
      <x:c r="W93" s="27" t="n">
        <x:v>1</x:v>
      </x:c>
      <x:c r="X93" s="27" t="n">
        <x:v>1</x:v>
      </x:c>
      <x:c r="Y93" s="22"/>
      <x:c r="Z93" s="22"/>
      <x:c r="AA93" s="22"/>
      <x:c r="AB93" s="22"/>
      <x:c r="AC93" s="22"/>
      <x:c r="AD93" s="22"/>
      <x:c r="AE93" s="22"/>
      <x:c r="AF93" s="22"/>
    </x:row>
    <x:row r="94" ht="22" customHeight="1">
      <x:c r="A94" s="22"/>
      <x:c r="B94" s="23"/>
      <x:c r="C94" s="23"/>
      <x:c r="D94" s="24" t="str">
        <x:v>실적</x:v>
      </x:c>
      <x:c r="E94" s="22"/>
      <x:c r="F94" s="22"/>
      <x:c r="G94" s="22"/>
      <x:c r="H94" s="30" t="n">
        <x:v>1</x:v>
      </x:c>
      <x:c r="I94" s="30" t="n">
        <x:v>1</x:v>
      </x:c>
      <x:c r="J94" s="30" t="n">
        <x:v>1</x:v>
      </x:c>
      <x:c r="K94" s="30" t="n">
        <x:v>1</x:v>
      </x:c>
      <x:c r="L94" s="30" t="n">
        <x:v>1</x:v>
      </x:c>
      <x:c r="M94" s="30" t="n">
        <x:v>1</x:v>
      </x:c>
      <x:c r="N94" s="30" t="n">
        <x:v>1</x:v>
      </x:c>
      <x:c r="O94" s="44"/>
      <x:c r="P94" s="22"/>
      <x:c r="Q94" s="22"/>
      <x:c r="R94" s="22"/>
      <x:c r="S94" s="22"/>
      <x:c r="T94" s="22"/>
      <x:c r="U94" s="22"/>
      <x:c r="V94" s="22"/>
      <x:c r="W94" s="22"/>
      <x:c r="X94" s="22"/>
      <x:c r="Y94" s="22"/>
      <x:c r="Z94" s="22"/>
      <x:c r="AA94" s="22"/>
      <x:c r="AB94" s="22"/>
      <x:c r="AC94" s="22"/>
      <x:c r="AD94" s="22"/>
      <x:c r="AE94" s="22"/>
      <x:c r="AF94" s="22"/>
    </x:row>
    <x:row r="95" ht="22" customHeight="1">
      <x:c r="A95" s="22"/>
      <x:c r="B95" s="23" t="str">
        <x:v>08-03 홀수·짝수 GX/GY 축·부호</x:v>
      </x:c>
      <x:c r="C95" s="23" t="str">
        <x:v>홀수 +Gx=-Xp,+Gy=+Yp; 짝수 +Gx=+Xp,+Gy=-Yp를 설치좌표와 자동검증한다.</x:v>
      </x:c>
      <x:c r="D95" s="24" t="str">
        <x:v>계획</x:v>
      </x:c>
      <x:c r="E95" s="22"/>
      <x:c r="F95" s="22"/>
      <x:c r="G95" s="27" t="n">
        <x:v>1</x:v>
      </x:c>
      <x:c r="H95" s="27" t="n">
        <x:v>1</x:v>
      </x:c>
      <x:c r="I95" s="27" t="n">
        <x:v>1</x:v>
      </x:c>
      <x:c r="J95" s="27" t="n">
        <x:v>1</x:v>
      </x:c>
      <x:c r="K95" s="27" t="n">
        <x:v>1</x:v>
      </x:c>
      <x:c r="L95" s="27" t="n">
        <x:v>1</x:v>
      </x:c>
      <x:c r="M95" s="27" t="n">
        <x:v>1</x:v>
      </x:c>
      <x:c r="N95" s="27" t="n">
        <x:v>1</x:v>
      </x:c>
      <x:c r="O95" s="45" t="n">
        <x:v>1</x:v>
      </x:c>
      <x:c r="P95" s="27" t="n">
        <x:v>1</x:v>
      </x:c>
      <x:c r="Q95" s="27" t="n">
        <x:v>1</x:v>
      </x:c>
      <x:c r="R95" s="27" t="n">
        <x:v>1</x:v>
      </x:c>
      <x:c r="S95" s="27" t="n">
        <x:v>1</x:v>
      </x:c>
      <x:c r="T95" s="27" t="n">
        <x:v>1</x:v>
      </x:c>
      <x:c r="U95" s="27" t="n">
        <x:v>1</x:v>
      </x:c>
      <x:c r="V95" s="22"/>
      <x:c r="W95" s="22"/>
      <x:c r="X95" s="22"/>
      <x:c r="Y95" s="22"/>
      <x:c r="Z95" s="22"/>
      <x:c r="AA95" s="22"/>
      <x:c r="AB95" s="22"/>
      <x:c r="AC95" s="22"/>
      <x:c r="AD95" s="22"/>
      <x:c r="AE95" s="22"/>
      <x:c r="AF95" s="22"/>
    </x:row>
    <x:row r="96" ht="22" customHeight="1">
      <x:c r="A96" s="22"/>
      <x:c r="B96" s="23"/>
      <x:c r="C96" s="23"/>
      <x:c r="D96" s="24" t="str">
        <x:v>실적</x:v>
      </x:c>
      <x:c r="E96" s="22"/>
      <x:c r="F96" s="22"/>
      <x:c r="G96" s="30" t="n">
        <x:v>1</x:v>
      </x:c>
      <x:c r="H96" s="30" t="n">
        <x:v>1</x:v>
      </x:c>
      <x:c r="I96" s="30" t="n">
        <x:v>1</x:v>
      </x:c>
      <x:c r="J96" s="30" t="n">
        <x:v>1</x:v>
      </x:c>
      <x:c r="K96" s="30" t="n">
        <x:v>1</x:v>
      </x:c>
      <x:c r="L96" s="30" t="n">
        <x:v>1</x:v>
      </x:c>
      <x:c r="M96" s="30" t="n">
        <x:v>1</x:v>
      </x:c>
      <x:c r="N96" s="22"/>
      <x:c r="O96" s="44"/>
      <x:c r="P96" s="22"/>
      <x:c r="Q96" s="22"/>
      <x:c r="R96" s="22"/>
      <x:c r="S96" s="22"/>
      <x:c r="T96" s="22"/>
      <x:c r="U96" s="22"/>
      <x:c r="V96" s="22"/>
      <x:c r="W96" s="22"/>
      <x:c r="X96" s="22"/>
      <x:c r="Y96" s="22"/>
      <x:c r="Z96" s="22"/>
      <x:c r="AA96" s="22"/>
      <x:c r="AB96" s="22"/>
      <x:c r="AC96" s="22"/>
      <x:c r="AD96" s="22"/>
      <x:c r="AE96" s="22"/>
      <x:c r="AF96" s="22"/>
    </x:row>
    <x:row r="97" ht="22" customHeight="1">
      <x:c r="A97" s="22"/>
      <x:c r="B97" s="23" t="str">
        <x:v>08-04 Scanner Mapping</x:v>
      </x:c>
      <x:c r="C97" s="23" t="str">
        <x:v>Head별 Cell/Hole/Pattern을 StageY·GX/GY로 변환하고 경계·범위·사용 Head를 검증한다.</x:v>
      </x:c>
      <x:c r="D97" s="24" t="str">
        <x:v>계획</x:v>
      </x:c>
      <x:c r="E97" s="22"/>
      <x:c r="F97" s="22"/>
      <x:c r="G97" s="22"/>
      <x:c r="H97" s="27" t="n">
        <x:v>1</x:v>
      </x:c>
      <x:c r="I97" s="27" t="n">
        <x:v>1</x:v>
      </x:c>
      <x:c r="J97" s="27" t="n">
        <x:v>1</x:v>
      </x:c>
      <x:c r="K97" s="27" t="n">
        <x:v>1</x:v>
      </x:c>
      <x:c r="L97" s="27" t="n">
        <x:v>1</x:v>
      </x:c>
      <x:c r="M97" s="27" t="n">
        <x:v>1</x:v>
      </x:c>
      <x:c r="N97" s="27" t="n">
        <x:v>1</x:v>
      </x:c>
      <x:c r="O97" s="45" t="n">
        <x:v>1</x:v>
      </x:c>
      <x:c r="P97" s="27" t="n">
        <x:v>1</x:v>
      </x:c>
      <x:c r="Q97" s="27" t="n">
        <x:v>1</x:v>
      </x:c>
      <x:c r="R97" s="27" t="n">
        <x:v>1</x:v>
      </x:c>
      <x:c r="S97" s="27" t="n">
        <x:v>1</x:v>
      </x:c>
      <x:c r="T97" s="27" t="n">
        <x:v>1</x:v>
      </x:c>
      <x:c r="U97" s="27" t="n">
        <x:v>1</x:v>
      </x:c>
      <x:c r="V97" s="27" t="n">
        <x:v>1</x:v>
      </x:c>
      <x:c r="W97" s="27" t="n">
        <x:v>1</x:v>
      </x:c>
      <x:c r="X97" s="27" t="n">
        <x:v>1</x:v>
      </x:c>
      <x:c r="Y97" s="27" t="n">
        <x:v>1</x:v>
      </x:c>
      <x:c r="Z97" s="22"/>
      <x:c r="AA97" s="22"/>
      <x:c r="AB97" s="22"/>
      <x:c r="AC97" s="22"/>
      <x:c r="AD97" s="22"/>
      <x:c r="AE97" s="22"/>
      <x:c r="AF97" s="22"/>
    </x:row>
    <x:row r="98" ht="22" customHeight="1">
      <x:c r="A98" s="22"/>
      <x:c r="B98" s="23"/>
      <x:c r="C98" s="23"/>
      <x:c r="D98" s="24" t="str">
        <x:v>실적</x:v>
      </x:c>
      <x:c r="E98" s="22"/>
      <x:c r="F98" s="22"/>
      <x:c r="G98" s="22"/>
      <x:c r="H98" s="30" t="n">
        <x:v>1</x:v>
      </x:c>
      <x:c r="I98" s="30" t="n">
        <x:v>1</x:v>
      </x:c>
      <x:c r="J98" s="30" t="n">
        <x:v>1</x:v>
      </x:c>
      <x:c r="K98" s="30" t="n">
        <x:v>1</x:v>
      </x:c>
      <x:c r="L98" s="30" t="n">
        <x:v>1</x:v>
      </x:c>
      <x:c r="M98" s="30" t="n">
        <x:v>1</x:v>
      </x:c>
      <x:c r="N98" s="22"/>
      <x:c r="O98" s="44"/>
      <x:c r="P98" s="22"/>
      <x:c r="Q98" s="22"/>
      <x:c r="R98" s="22"/>
      <x:c r="S98" s="22"/>
      <x:c r="T98" s="22"/>
      <x:c r="U98" s="22"/>
      <x:c r="V98" s="22"/>
      <x:c r="W98" s="22"/>
      <x:c r="X98" s="22"/>
      <x:c r="Y98" s="22"/>
      <x:c r="Z98" s="22"/>
      <x:c r="AA98" s="22"/>
      <x:c r="AB98" s="22"/>
      <x:c r="AC98" s="22"/>
      <x:c r="AD98" s="22"/>
      <x:c r="AE98" s="22"/>
      <x:c r="AF98" s="22"/>
    </x:row>
    <x:row r="99" ht="22" customHeight="1">
      <x:c r="A99" s="22"/>
      <x:c r="B99" s="23" t="str">
        <x:v>08-05 Field Distortion 보정</x:v>
      </x:c>
      <x:c r="C99" s="23" t="str">
        <x:v>측정점→6 Distortion Key/Correction 데이터 생성, Rotation/Shift/PP 적용순서와 잔차를 검증한다.</x:v>
      </x:c>
      <x:c r="D99" s="24" t="str">
        <x:v>계획</x:v>
      </x:c>
      <x:c r="E99" s="22"/>
      <x:c r="F99" s="22"/>
      <x:c r="G99" s="22"/>
      <x:c r="H99" s="22"/>
      <x:c r="I99" s="22"/>
      <x:c r="J99" s="22"/>
      <x:c r="K99" s="22"/>
      <x:c r="L99" s="27" t="n">
        <x:v>1</x:v>
      </x:c>
      <x:c r="M99" s="27" t="n">
        <x:v>1</x:v>
      </x:c>
      <x:c r="N99" s="27" t="n">
        <x:v>1</x:v>
      </x:c>
      <x:c r="O99" s="45" t="n">
        <x:v>1</x:v>
      </x:c>
      <x:c r="P99" s="27" t="n">
        <x:v>1</x:v>
      </x:c>
      <x:c r="Q99" s="27" t="n">
        <x:v>1</x:v>
      </x:c>
      <x:c r="R99" s="27" t="n">
        <x:v>1</x:v>
      </x:c>
      <x:c r="S99" s="27" t="n">
        <x:v>1</x:v>
      </x:c>
      <x:c r="T99" s="27" t="n">
        <x:v>1</x:v>
      </x:c>
      <x:c r="U99" s="27" t="n">
        <x:v>1</x:v>
      </x:c>
      <x:c r="V99" s="27" t="n">
        <x:v>1</x:v>
      </x:c>
      <x:c r="W99" s="27" t="n">
        <x:v>1</x:v>
      </x:c>
      <x:c r="X99" s="27" t="n">
        <x:v>1</x:v>
      </x:c>
      <x:c r="Y99" s="27" t="n">
        <x:v>1</x:v>
      </x:c>
      <x:c r="Z99" s="27" t="n">
        <x:v>1</x:v>
      </x:c>
      <x:c r="AA99" s="27" t="n">
        <x:v>1</x:v>
      </x:c>
      <x:c r="AB99" s="22"/>
      <x:c r="AC99" s="22"/>
      <x:c r="AD99" s="22"/>
      <x:c r="AE99" s="22"/>
      <x:c r="AF99" s="22"/>
    </x:row>
    <x:row r="100" ht="22" customHeight="1">
      <x:c r="A100" s="22"/>
      <x:c r="B100" s="23"/>
      <x:c r="C100" s="23"/>
      <x:c r="D100" s="24" t="str">
        <x:v>실적</x:v>
      </x:c>
      <x:c r="E100" s="22"/>
      <x:c r="F100" s="22"/>
      <x:c r="G100" s="22"/>
      <x:c r="H100" s="22"/>
      <x:c r="I100" s="22"/>
      <x:c r="J100" s="22"/>
      <x:c r="K100" s="22"/>
      <x:c r="L100" s="30" t="n">
        <x:v>1</x:v>
      </x:c>
      <x:c r="M100" s="30" t="n">
        <x:v>1</x:v>
      </x:c>
      <x:c r="N100" s="30" t="n">
        <x:v>1</x:v>
      </x:c>
      <x:c r="O100" s="47" t="n">
        <x:v>1</x:v>
      </x:c>
      <x:c r="P100" s="22"/>
      <x:c r="Q100" s="22"/>
      <x:c r="R100" s="22"/>
      <x:c r="S100" s="22"/>
      <x:c r="T100" s="22"/>
      <x:c r="U100" s="22"/>
      <x:c r="V100" s="22"/>
      <x:c r="W100" s="22"/>
      <x:c r="X100" s="22"/>
      <x:c r="Y100" s="22"/>
      <x:c r="Z100" s="22"/>
      <x:c r="AA100" s="22"/>
      <x:c r="AB100" s="22"/>
      <x:c r="AC100" s="22"/>
      <x:c r="AD100" s="22"/>
      <x:c r="AE100" s="22"/>
      <x:c r="AF100" s="22"/>
    </x:row>
    <x:row r="101" ht="22" customHeight="1">
      <x:c r="A101" s="22"/>
      <x:c r="B101" s="23" t="str">
        <x:v>08-06 Stage Y OTF/MOF·Encoder/AUX</x:v>
      </x:c>
      <x:c r="C101" s="23" t="str">
        <x:v>External Stage Encoder와 Scanner AUX를 연계하여 Stage Y MOF 이동과 Head별 Script 동기를 실장비로 검증한다.</x:v>
      </x:c>
      <x:c r="D101" s="24" t="str">
        <x:v>계획</x:v>
      </x:c>
      <x:c r="E101" s="22"/>
      <x:c r="F101" s="22"/>
      <x:c r="G101" s="22"/>
      <x:c r="H101" s="22"/>
      <x:c r="I101" s="27" t="n">
        <x:v>1</x:v>
      </x:c>
      <x:c r="J101" s="27" t="n">
        <x:v>1</x:v>
      </x:c>
      <x:c r="K101" s="27" t="n">
        <x:v>1</x:v>
      </x:c>
      <x:c r="L101" s="27" t="n">
        <x:v>1</x:v>
      </x:c>
      <x:c r="M101" s="27" t="n">
        <x:v>1</x:v>
      </x:c>
      <x:c r="N101" s="27" t="n">
        <x:v>1</x:v>
      </x:c>
      <x:c r="O101" s="45" t="n">
        <x:v>1</x:v>
      </x:c>
      <x:c r="P101" s="27" t="n">
        <x:v>1</x:v>
      </x:c>
      <x:c r="Q101" s="27" t="n">
        <x:v>1</x:v>
      </x:c>
      <x:c r="R101" s="27" t="n">
        <x:v>1</x:v>
      </x:c>
      <x:c r="S101" s="27" t="n">
        <x:v>1</x:v>
      </x:c>
      <x:c r="T101" s="27" t="n">
        <x:v>1</x:v>
      </x:c>
      <x:c r="U101" s="27" t="n">
        <x:v>1</x:v>
      </x:c>
      <x:c r="V101" s="27" t="n">
        <x:v>1</x:v>
      </x:c>
      <x:c r="W101" s="27" t="n">
        <x:v>1</x:v>
      </x:c>
      <x:c r="X101" s="27" t="n">
        <x:v>1</x:v>
      </x:c>
      <x:c r="Y101" s="27" t="n">
        <x:v>1</x:v>
      </x:c>
      <x:c r="Z101" s="27" t="n">
        <x:v>1</x:v>
      </x:c>
      <x:c r="AA101" s="27" t="n">
        <x:v>1</x:v>
      </x:c>
      <x:c r="AB101" s="22"/>
      <x:c r="AC101" s="22"/>
      <x:c r="AD101" s="22"/>
      <x:c r="AE101" s="22"/>
      <x:c r="AF101" s="22"/>
    </x:row>
    <x:row r="102" ht="22" customHeight="1">
      <x:c r="A102" s="22"/>
      <x:c r="B102" s="23"/>
      <x:c r="C102" s="23"/>
      <x:c r="D102" s="24" t="str">
        <x:v>실적</x:v>
      </x:c>
      <x:c r="E102" s="22"/>
      <x:c r="F102" s="22"/>
      <x:c r="G102" s="22"/>
      <x:c r="H102" s="22"/>
      <x:c r="I102" s="30" t="n">
        <x:v>1</x:v>
      </x:c>
      <x:c r="J102" s="30" t="n">
        <x:v>1</x:v>
      </x:c>
      <x:c r="K102" s="30" t="n">
        <x:v>1</x:v>
      </x:c>
      <x:c r="L102" s="30" t="n">
        <x:v>1</x:v>
      </x:c>
      <x:c r="M102" s="30" t="n">
        <x:v>1</x:v>
      </x:c>
      <x:c r="N102" s="30" t="n">
        <x:v>1</x:v>
      </x:c>
      <x:c r="O102" s="44"/>
      <x:c r="P102" s="22"/>
      <x:c r="Q102" s="22"/>
      <x:c r="R102" s="22"/>
      <x:c r="S102" s="22"/>
      <x:c r="T102" s="22"/>
      <x:c r="U102" s="22"/>
      <x:c r="V102" s="22"/>
      <x:c r="W102" s="22"/>
      <x:c r="X102" s="22"/>
      <x:c r="Y102" s="22"/>
      <x:c r="Z102" s="22"/>
      <x:c r="AA102" s="22"/>
      <x:c r="AB102" s="22"/>
      <x:c r="AC102" s="22"/>
      <x:c r="AD102" s="22"/>
      <x:c r="AE102" s="22"/>
      <x:c r="AF102" s="22"/>
    </x:row>
    <x:row r="103" ht="22" customHeight="1">
      <x:c r="A103" s="22"/>
      <x:c r="B103" s="23" t="str">
        <x:v>08-07 Trigger·Lead-in/out·Shot</x:v>
      </x:c>
      <x:c r="C103" s="23" t="str">
        <x:v>Lead-in/out, Jump/Mark/Shot, Shot Count/Delay, PSO/AUX Trigger의 적용시점·순서를 확정·검증한다.</x:v>
      </x:c>
      <x:c r="D103" s="24" t="str">
        <x:v>계획</x:v>
      </x:c>
      <x:c r="E103" s="22"/>
      <x:c r="F103" s="22"/>
      <x:c r="G103" s="22"/>
      <x:c r="H103" s="22"/>
      <x:c r="I103" s="22"/>
      <x:c r="J103" s="22"/>
      <x:c r="K103" s="27" t="n">
        <x:v>1</x:v>
      </x:c>
      <x:c r="L103" s="27" t="n">
        <x:v>1</x:v>
      </x:c>
      <x:c r="M103" s="27" t="n">
        <x:v>1</x:v>
      </x:c>
      <x:c r="N103" s="27" t="n">
        <x:v>1</x:v>
      </x:c>
      <x:c r="O103" s="45" t="n">
        <x:v>1</x:v>
      </x:c>
      <x:c r="P103" s="27" t="n">
        <x:v>1</x:v>
      </x:c>
      <x:c r="Q103" s="27" t="n">
        <x:v>1</x:v>
      </x:c>
      <x:c r="R103" s="27" t="n">
        <x:v>1</x:v>
      </x:c>
      <x:c r="S103" s="27" t="n">
        <x:v>1</x:v>
      </x:c>
      <x:c r="T103" s="27" t="n">
        <x:v>1</x:v>
      </x:c>
      <x:c r="U103" s="27" t="n">
        <x:v>1</x:v>
      </x:c>
      <x:c r="V103" s="27" t="n">
        <x:v>1</x:v>
      </x:c>
      <x:c r="W103" s="27" t="n">
        <x:v>1</x:v>
      </x:c>
      <x:c r="X103" s="27" t="n">
        <x:v>1</x:v>
      </x:c>
      <x:c r="Y103" s="27" t="n">
        <x:v>1</x:v>
      </x:c>
      <x:c r="Z103" s="27" t="n">
        <x:v>1</x:v>
      </x:c>
      <x:c r="AA103" s="27" t="n">
        <x:v>1</x:v>
      </x:c>
      <x:c r="AB103" s="22"/>
      <x:c r="AC103" s="22"/>
      <x:c r="AD103" s="22"/>
      <x:c r="AE103" s="22"/>
      <x:c r="AF103" s="22"/>
    </x:row>
    <x:row r="104" ht="22" customHeight="1">
      <x:c r="A104" s="22"/>
      <x:c r="B104" s="23"/>
      <x:c r="C104" s="23"/>
      <x:c r="D104" s="24" t="str">
        <x:v>실적</x:v>
      </x:c>
      <x:c r="E104" s="22"/>
      <x:c r="F104" s="22"/>
      <x:c r="G104" s="22"/>
      <x:c r="H104" s="22"/>
      <x:c r="I104" s="22"/>
      <x:c r="J104" s="22"/>
      <x:c r="K104" s="30" t="n">
        <x:v>1</x:v>
      </x:c>
      <x:c r="L104" s="30" t="n">
        <x:v>1</x:v>
      </x:c>
      <x:c r="M104" s="30" t="n">
        <x:v>1</x:v>
      </x:c>
      <x:c r="N104" s="30" t="n">
        <x:v>1</x:v>
      </x:c>
      <x:c r="O104" s="44"/>
      <x:c r="P104" s="22"/>
      <x:c r="Q104" s="22"/>
      <x:c r="R104" s="22"/>
      <x:c r="S104" s="22"/>
      <x:c r="T104" s="22"/>
      <x:c r="U104" s="22"/>
      <x:c r="V104" s="22"/>
      <x:c r="W104" s="22"/>
      <x:c r="X104" s="22"/>
      <x:c r="Y104" s="22"/>
      <x:c r="Z104" s="22"/>
      <x:c r="AA104" s="22"/>
      <x:c r="AB104" s="22"/>
      <x:c r="AC104" s="22"/>
      <x:c r="AD104" s="22"/>
      <x:c r="AE104" s="22"/>
      <x:c r="AF104" s="22"/>
    </x:row>
    <x:row r="105" ht="22" customHeight="1">
      <x:c r="A105" s="22"/>
      <x:c r="B105" s="23" t="str">
        <x:v>08-08 Head 사용/미사용·1/8 Head 시험</x:v>
      </x:c>
      <x:c r="C105" s="23" t="str">
        <x:v>단일 Head와 8 Head 동시동작에서 미사용 영역, 동기, 성능, 오류격리·복구를 검증한다.</x:v>
      </x:c>
      <x:c r="D105" s="24" t="str">
        <x:v>계획</x:v>
      </x:c>
      <x:c r="E105" s="22"/>
      <x:c r="F105" s="22"/>
      <x:c r="G105" s="22"/>
      <x:c r="H105" s="22"/>
      <x:c r="I105" s="22"/>
      <x:c r="J105" s="22"/>
      <x:c r="K105" s="22"/>
      <x:c r="L105" s="22"/>
      <x:c r="M105" s="22"/>
      <x:c r="N105" s="27" t="n">
        <x:v>1</x:v>
      </x:c>
      <x:c r="O105" s="45" t="n">
        <x:v>1</x:v>
      </x:c>
      <x:c r="P105" s="27" t="n">
        <x:v>1</x:v>
      </x:c>
      <x:c r="Q105" s="27" t="n">
        <x:v>1</x:v>
      </x:c>
      <x:c r="R105" s="27" t="n">
        <x:v>1</x:v>
      </x:c>
      <x:c r="S105" s="27" t="n">
        <x:v>1</x:v>
      </x:c>
      <x:c r="T105" s="27" t="n">
        <x:v>1</x:v>
      </x:c>
      <x:c r="U105" s="27" t="n">
        <x:v>1</x:v>
      </x:c>
      <x:c r="V105" s="27" t="n">
        <x:v>1</x:v>
      </x:c>
      <x:c r="W105" s="27" t="n">
        <x:v>1</x:v>
      </x:c>
      <x:c r="X105" s="27" t="n">
        <x:v>1</x:v>
      </x:c>
      <x:c r="Y105" s="27" t="n">
        <x:v>1</x:v>
      </x:c>
      <x:c r="Z105" s="27" t="n">
        <x:v>1</x:v>
      </x:c>
      <x:c r="AA105" s="27" t="n">
        <x:v>1</x:v>
      </x:c>
      <x:c r="AB105" s="27" t="n">
        <x:v>1</x:v>
      </x:c>
      <x:c r="AC105" s="22"/>
      <x:c r="AD105" s="22"/>
      <x:c r="AE105" s="22"/>
      <x:c r="AF105" s="22"/>
    </x:row>
    <x:row r="106" ht="22" customHeight="1">
      <x:c r="A106" s="35"/>
      <x:c r="B106" s="36"/>
      <x:c r="C106" s="36"/>
      <x:c r="D106" s="37" t="str">
        <x:v>실적</x:v>
      </x:c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8" t="n">
        <x:v>1</x:v>
      </x:c>
      <x:c r="O106" s="48" t="n">
        <x:v>1</x:v>
      </x:c>
      <x:c r="P106" s="35"/>
      <x:c r="Q106" s="35"/>
      <x:c r="R106" s="35"/>
      <x:c r="S106" s="35"/>
      <x:c r="T106" s="35"/>
      <x:c r="U106" s="35"/>
      <x:c r="V106" s="35"/>
      <x:c r="W106" s="35"/>
      <x:c r="X106" s="35"/>
      <x:c r="Y106" s="35"/>
      <x:c r="Z106" s="35"/>
      <x:c r="AA106" s="35"/>
      <x:c r="AB106" s="35"/>
      <x:c r="AC106" s="35"/>
      <x:c r="AD106" s="35"/>
      <x:c r="AE106" s="35"/>
      <x:c r="AF106" s="35"/>
    </x:row>
    <x:row r="107" ht="22" customHeight="1">
      <x:c r="A107" s="41" t="str">
        <x:v>09
Laser/Optics/Power</x:v>
      </x:c>
      <x:c r="B107" s="32" t="str">
        <x:v>09-01 Laser 출사조건·안전</x:v>
      </x:c>
      <x:c r="C107" s="32" t="str">
        <x:v>Diode/Power/Frequency/Gate/Shutter, Ready/Alarm, Door·Chiller·Motion Interlock와 Off 순서를 승인·검증한다.</x:v>
      </x:c>
      <x:c r="D107" s="33" t="str">
        <x:v>계획</x:v>
      </x:c>
      <x:c r="E107" s="31"/>
      <x:c r="F107" s="34" t="n">
        <x:v>1</x:v>
      </x:c>
      <x:c r="G107" s="34" t="n">
        <x:v>1</x:v>
      </x:c>
      <x:c r="H107" s="34" t="n">
        <x:v>1</x:v>
      </x:c>
      <x:c r="I107" s="34" t="n">
        <x:v>1</x:v>
      </x:c>
      <x:c r="J107" s="34" t="n">
        <x:v>1</x:v>
      </x:c>
      <x:c r="K107" s="34" t="n">
        <x:v>1</x:v>
      </x:c>
      <x:c r="L107" s="34" t="n">
        <x:v>1</x:v>
      </x:c>
      <x:c r="M107" s="34" t="n">
        <x:v>1</x:v>
      </x:c>
      <x:c r="N107" s="34" t="n">
        <x:v>1</x:v>
      </x:c>
      <x:c r="O107" s="43" t="n">
        <x:v>1</x:v>
      </x:c>
      <x:c r="P107" s="34" t="n">
        <x:v>1</x:v>
      </x:c>
      <x:c r="Q107" s="34" t="n">
        <x:v>1</x:v>
      </x:c>
      <x:c r="R107" s="34" t="n">
        <x:v>1</x:v>
      </x:c>
      <x:c r="S107" s="34" t="n">
        <x:v>1</x:v>
      </x:c>
      <x:c r="T107" s="34" t="n">
        <x:v>1</x:v>
      </x:c>
      <x:c r="U107" s="34" t="n">
        <x:v>1</x:v>
      </x:c>
      <x:c r="V107" s="34" t="n">
        <x:v>1</x:v>
      </x:c>
      <x:c r="W107" s="34" t="n">
        <x:v>1</x:v>
      </x:c>
      <x:c r="X107" s="31"/>
      <x:c r="Y107" s="31"/>
      <x:c r="Z107" s="31"/>
      <x:c r="AA107" s="31"/>
      <x:c r="AB107" s="31"/>
      <x:c r="AC107" s="31"/>
      <x:c r="AD107" s="31"/>
      <x:c r="AE107" s="31"/>
      <x:c r="AF107" s="31"/>
    </x:row>
    <x:row r="108" ht="22" customHeight="1">
      <x:c r="A108" s="22"/>
      <x:c r="B108" s="23"/>
      <x:c r="C108" s="23"/>
      <x:c r="D108" s="24" t="str">
        <x:v>실적</x:v>
      </x:c>
      <x:c r="E108" s="22"/>
      <x:c r="F108" s="30" t="n">
        <x:v>1</x:v>
      </x:c>
      <x:c r="G108" s="30" t="n">
        <x:v>1</x:v>
      </x:c>
      <x:c r="H108" s="30" t="n">
        <x:v>1</x:v>
      </x:c>
      <x:c r="I108" s="30" t="n">
        <x:v>1</x:v>
      </x:c>
      <x:c r="J108" s="30" t="n">
        <x:v>1</x:v>
      </x:c>
      <x:c r="K108" s="30" t="n">
        <x:v>1</x:v>
      </x:c>
      <x:c r="L108" s="30" t="n">
        <x:v>1</x:v>
      </x:c>
      <x:c r="M108" s="30" t="n">
        <x:v>1</x:v>
      </x:c>
      <x:c r="N108" s="22"/>
      <x:c r="O108" s="44"/>
      <x:c r="P108" s="22"/>
      <x:c r="Q108" s="22"/>
      <x:c r="R108" s="22"/>
      <x:c r="S108" s="22"/>
      <x:c r="T108" s="22"/>
      <x:c r="U108" s="22"/>
      <x:c r="V108" s="22"/>
      <x:c r="W108" s="22"/>
      <x:c r="X108" s="22"/>
      <x:c r="Y108" s="22"/>
      <x:c r="Z108" s="22"/>
      <x:c r="AA108" s="22"/>
      <x:c r="AB108" s="22"/>
      <x:c r="AC108" s="22"/>
      <x:c r="AD108" s="22"/>
      <x:c r="AE108" s="22"/>
      <x:c r="AF108" s="22"/>
    </x:row>
    <x:row r="109" ht="22" customHeight="1">
      <x:c r="A109" s="22"/>
      <x:c r="B109" s="23" t="str">
        <x:v>09-02 Optics 동작·Recipe 연계</x:v>
      </x:c>
      <x:c r="C109" s="23" t="str">
        <x:v>ATT/BET/DOE Z/Branch/Scanner 조건을 Recipe에서 설정하고 Readback·범위·충돌·복귀를 검증한다.</x:v>
      </x:c>
      <x:c r="D109" s="24" t="str">
        <x:v>계획</x:v>
      </x:c>
      <x:c r="E109" s="22"/>
      <x:c r="F109" s="22"/>
      <x:c r="G109" s="27" t="n">
        <x:v>1</x:v>
      </x:c>
      <x:c r="H109" s="27" t="n">
        <x:v>1</x:v>
      </x:c>
      <x:c r="I109" s="27" t="n">
        <x:v>1</x:v>
      </x:c>
      <x:c r="J109" s="27" t="n">
        <x:v>1</x:v>
      </x:c>
      <x:c r="K109" s="27" t="n">
        <x:v>1</x:v>
      </x:c>
      <x:c r="L109" s="27" t="n">
        <x:v>1</x:v>
      </x:c>
      <x:c r="M109" s="27" t="n">
        <x:v>1</x:v>
      </x:c>
      <x:c r="N109" s="27" t="n">
        <x:v>1</x:v>
      </x:c>
      <x:c r="O109" s="45" t="n">
        <x:v>1</x:v>
      </x:c>
      <x:c r="P109" s="27" t="n">
        <x:v>1</x:v>
      </x:c>
      <x:c r="Q109" s="27" t="n">
        <x:v>1</x:v>
      </x:c>
      <x:c r="R109" s="27" t="n">
        <x:v>1</x:v>
      </x:c>
      <x:c r="S109" s="27" t="n">
        <x:v>1</x:v>
      </x:c>
      <x:c r="T109" s="27" t="n">
        <x:v>1</x:v>
      </x:c>
      <x:c r="U109" s="27" t="n">
        <x:v>1</x:v>
      </x:c>
      <x:c r="V109" s="27" t="n">
        <x:v>1</x:v>
      </x:c>
      <x:c r="W109" s="27" t="n">
        <x:v>1</x:v>
      </x:c>
      <x:c r="X109" s="27" t="n">
        <x:v>1</x:v>
      </x:c>
      <x:c r="Y109" s="27" t="n">
        <x:v>1</x:v>
      </x:c>
      <x:c r="Z109" s="22"/>
      <x:c r="AA109" s="22"/>
      <x:c r="AB109" s="22"/>
      <x:c r="AC109" s="22"/>
      <x:c r="AD109" s="22"/>
      <x:c r="AE109" s="22"/>
      <x:c r="AF109" s="22"/>
    </x:row>
    <x:row r="110" ht="22" customHeight="1">
      <x:c r="A110" s="22"/>
      <x:c r="B110" s="23"/>
      <x:c r="C110" s="23"/>
      <x:c r="D110" s="24" t="str">
        <x:v>실적</x:v>
      </x:c>
      <x:c r="E110" s="22"/>
      <x:c r="F110" s="22"/>
      <x:c r="G110" s="30" t="n">
        <x:v>1</x:v>
      </x:c>
      <x:c r="H110" s="30" t="n">
        <x:v>1</x:v>
      </x:c>
      <x:c r="I110" s="30" t="n">
        <x:v>1</x:v>
      </x:c>
      <x:c r="J110" s="30" t="n">
        <x:v>1</x:v>
      </x:c>
      <x:c r="K110" s="30" t="n">
        <x:v>1</x:v>
      </x:c>
      <x:c r="L110" s="30" t="n">
        <x:v>1</x:v>
      </x:c>
      <x:c r="M110" s="30" t="n">
        <x:v>1</x:v>
      </x:c>
      <x:c r="N110" s="22"/>
      <x:c r="O110" s="44"/>
      <x:c r="P110" s="22"/>
      <x:c r="Q110" s="22"/>
      <x:c r="R110" s="22"/>
      <x:c r="S110" s="22"/>
      <x:c r="T110" s="22"/>
      <x:c r="U110" s="22"/>
      <x:c r="V110" s="22"/>
      <x:c r="W110" s="22"/>
      <x:c r="X110" s="22"/>
      <x:c r="Y110" s="22"/>
      <x:c r="Z110" s="22"/>
      <x:c r="AA110" s="22"/>
      <x:c r="AB110" s="22"/>
      <x:c r="AC110" s="22"/>
      <x:c r="AD110" s="22"/>
      <x:c r="AE110" s="22"/>
      <x:c r="AF110" s="22"/>
    </x:row>
    <x:row r="111" ht="22" customHeight="1">
      <x:c r="A111" s="22"/>
      <x:c r="B111" s="23" t="str">
        <x:v>09-03 Power Meter 측정</x:v>
      </x:c>
      <x:c r="C111" s="23" t="str">
        <x:v>Head별 위치 이동, Zero/Range, 반복측정, 안정화, 평균/편차, Tolerance·Min/Max를 구현·검증한다.</x:v>
      </x:c>
      <x:c r="D111" s="24" t="str">
        <x:v>계획</x:v>
      </x:c>
      <x:c r="E111" s="22"/>
      <x:c r="F111" s="22"/>
      <x:c r="G111" s="22"/>
      <x:c r="H111" s="22"/>
      <x:c r="I111" s="27" t="n">
        <x:v>1</x:v>
      </x:c>
      <x:c r="J111" s="27" t="n">
        <x:v>1</x:v>
      </x:c>
      <x:c r="K111" s="27" t="n">
        <x:v>1</x:v>
      </x:c>
      <x:c r="L111" s="27" t="n">
        <x:v>1</x:v>
      </x:c>
      <x:c r="M111" s="27" t="n">
        <x:v>1</x:v>
      </x:c>
      <x:c r="N111" s="27" t="n">
        <x:v>1</x:v>
      </x:c>
      <x:c r="O111" s="45" t="n">
        <x:v>1</x:v>
      </x:c>
      <x:c r="P111" s="27" t="n">
        <x:v>1</x:v>
      </x:c>
      <x:c r="Q111" s="27" t="n">
        <x:v>1</x:v>
      </x:c>
      <x:c r="R111" s="27" t="n">
        <x:v>1</x:v>
      </x:c>
      <x:c r="S111" s="27" t="n">
        <x:v>1</x:v>
      </x:c>
      <x:c r="T111" s="27" t="n">
        <x:v>1</x:v>
      </x:c>
      <x:c r="U111" s="27" t="n">
        <x:v>1</x:v>
      </x:c>
      <x:c r="V111" s="27" t="n">
        <x:v>1</x:v>
      </x:c>
      <x:c r="W111" s="27" t="n">
        <x:v>1</x:v>
      </x:c>
      <x:c r="X111" s="27" t="n">
        <x:v>1</x:v>
      </x:c>
      <x:c r="Y111" s="27" t="n">
        <x:v>1</x:v>
      </x:c>
      <x:c r="Z111" s="22"/>
      <x:c r="AA111" s="22"/>
      <x:c r="AB111" s="22"/>
      <x:c r="AC111" s="22"/>
      <x:c r="AD111" s="22"/>
      <x:c r="AE111" s="22"/>
      <x:c r="AF111" s="22"/>
    </x:row>
    <x:row r="112" ht="22" customHeight="1">
      <x:c r="A112" s="22"/>
      <x:c r="B112" s="23"/>
      <x:c r="C112" s="23"/>
      <x:c r="D112" s="24" t="str">
        <x:v>실적</x:v>
      </x:c>
      <x:c r="E112" s="22"/>
      <x:c r="F112" s="22"/>
      <x:c r="G112" s="22"/>
      <x:c r="H112" s="22"/>
      <x:c r="I112" s="30" t="n">
        <x:v>1</x:v>
      </x:c>
      <x:c r="J112" s="30" t="n">
        <x:v>1</x:v>
      </x:c>
      <x:c r="K112" s="30" t="n">
        <x:v>1</x:v>
      </x:c>
      <x:c r="L112" s="30" t="n">
        <x:v>1</x:v>
      </x:c>
      <x:c r="M112" s="30" t="n">
        <x:v>1</x:v>
      </x:c>
      <x:c r="N112" s="22"/>
      <x:c r="O112" s="44"/>
      <x:c r="P112" s="22"/>
      <x:c r="Q112" s="22"/>
      <x:c r="R112" s="22"/>
      <x:c r="S112" s="22"/>
      <x:c r="T112" s="22"/>
      <x:c r="U112" s="22"/>
      <x:c r="V112" s="22"/>
      <x:c r="W112" s="22"/>
      <x:c r="X112" s="22"/>
      <x:c r="Y112" s="22"/>
      <x:c r="Z112" s="22"/>
      <x:c r="AA112" s="22"/>
      <x:c r="AB112" s="22"/>
      <x:c r="AC112" s="22"/>
      <x:c r="AD112" s="22"/>
      <x:c r="AE112" s="22"/>
      <x:c r="AF112" s="22"/>
    </x:row>
    <x:row r="113" ht="22" customHeight="1">
      <x:c r="A113" s="22"/>
      <x:c r="B113" s="23" t="str">
        <x:v>09-04 ATT Power 보정·APC</x:v>
      </x:c>
      <x:c r="C113" s="23" t="str">
        <x:v>APC 유효기간·Recipe 일치·3/2/1점, ATT 반복보정 종료조건, 실패 Alarm과 적용이력을 구현한다.</x:v>
      </x:c>
      <x:c r="D113" s="24" t="str">
        <x:v>계획</x:v>
      </x:c>
      <x:c r="E113" s="22"/>
      <x:c r="F113" s="22"/>
      <x:c r="G113" s="22"/>
      <x:c r="H113" s="22"/>
      <x:c r="I113" s="22"/>
      <x:c r="J113" s="22"/>
      <x:c r="K113" s="22"/>
      <x:c r="L113" s="22"/>
      <x:c r="M113" s="22"/>
      <x:c r="N113" s="27" t="n">
        <x:v>1</x:v>
      </x:c>
      <x:c r="O113" s="45" t="n">
        <x:v>1</x:v>
      </x:c>
      <x:c r="P113" s="27" t="n">
        <x:v>1</x:v>
      </x:c>
      <x:c r="Q113" s="27" t="n">
        <x:v>1</x:v>
      </x:c>
      <x:c r="R113" s="27" t="n">
        <x:v>1</x:v>
      </x:c>
      <x:c r="S113" s="27" t="n">
        <x:v>1</x:v>
      </x:c>
      <x:c r="T113" s="27" t="n">
        <x:v>1</x:v>
      </x:c>
      <x:c r="U113" s="27" t="n">
        <x:v>1</x:v>
      </x:c>
      <x:c r="V113" s="27" t="n">
        <x:v>1</x:v>
      </x:c>
      <x:c r="W113" s="27" t="n">
        <x:v>1</x:v>
      </x:c>
      <x:c r="X113" s="27" t="n">
        <x:v>1</x:v>
      </x:c>
      <x:c r="Y113" s="27" t="n">
        <x:v>1</x:v>
      </x:c>
      <x:c r="Z113" s="27" t="n">
        <x:v>1</x:v>
      </x:c>
      <x:c r="AA113" s="27" t="n">
        <x:v>1</x:v>
      </x:c>
      <x:c r="AB113" s="27" t="n">
        <x:v>1</x:v>
      </x:c>
      <x:c r="AC113" s="22"/>
      <x:c r="AD113" s="22"/>
      <x:c r="AE113" s="22"/>
      <x:c r="AF113" s="22"/>
    </x:row>
    <x:row r="114" ht="22" customHeight="1">
      <x:c r="A114" s="22"/>
      <x:c r="B114" s="23"/>
      <x:c r="C114" s="23"/>
      <x:c r="D114" s="24" t="str">
        <x:v>실적</x:v>
      </x:c>
      <x:c r="E114" s="22"/>
      <x:c r="F114" s="22"/>
      <x:c r="G114" s="22"/>
      <x:c r="H114" s="22"/>
      <x:c r="I114" s="22"/>
      <x:c r="J114" s="22"/>
      <x:c r="K114" s="22"/>
      <x:c r="L114" s="22"/>
      <x:c r="M114" s="22"/>
      <x:c r="N114" s="30" t="n">
        <x:v>1</x:v>
      </x:c>
      <x:c r="O114" s="47" t="n">
        <x:v>1</x:v>
      </x:c>
      <x:c r="P114" s="22"/>
      <x:c r="Q114" s="22"/>
      <x:c r="R114" s="22"/>
      <x:c r="S114" s="22"/>
      <x:c r="T114" s="22"/>
      <x:c r="U114" s="22"/>
      <x:c r="V114" s="22"/>
      <x:c r="W114" s="22"/>
      <x:c r="X114" s="22"/>
      <x:c r="Y114" s="22"/>
      <x:c r="Z114" s="22"/>
      <x:c r="AA114" s="22"/>
      <x:c r="AB114" s="22"/>
      <x:c r="AC114" s="22"/>
      <x:c r="AD114" s="22"/>
      <x:c r="AE114" s="22"/>
      <x:c r="AF114" s="22"/>
    </x:row>
    <x:row r="115" ht="22" customHeight="1">
      <x:c r="A115" s="22"/>
      <x:c r="B115" s="23" t="str">
        <x:v>09-05 Power/Optics 통합 검증</x:v>
      </x:c>
      <x:c r="C115" s="23" t="str">
        <x:v>보호윈도우 전후·Head별·Power 범위별 재현성, Drift, APC/Recipe 정합성과 안전복귀를 검증한다.</x:v>
      </x:c>
      <x:c r="D115" s="24" t="str">
        <x:v>계획</x:v>
      </x:c>
      <x:c r="E115" s="22"/>
      <x:c r="F115" s="22"/>
      <x:c r="G115" s="22"/>
      <x:c r="H115" s="22"/>
      <x:c r="I115" s="22"/>
      <x:c r="J115" s="22"/>
      <x:c r="K115" s="22"/>
      <x:c r="L115" s="22"/>
      <x:c r="M115" s="22"/>
      <x:c r="N115" s="22"/>
      <x:c r="O115" s="44"/>
      <x:c r="P115" s="22"/>
      <x:c r="Q115" s="22"/>
      <x:c r="R115" s="27" t="n">
        <x:v>1</x:v>
      </x:c>
      <x:c r="S115" s="27" t="n">
        <x:v>1</x:v>
      </x:c>
      <x:c r="T115" s="27" t="n">
        <x:v>1</x:v>
      </x:c>
      <x:c r="U115" s="27" t="n">
        <x:v>1</x:v>
      </x:c>
      <x:c r="V115" s="27" t="n">
        <x:v>1</x:v>
      </x:c>
      <x:c r="W115" s="27" t="n">
        <x:v>1</x:v>
      </x:c>
      <x:c r="X115" s="27" t="n">
        <x:v>1</x:v>
      </x:c>
      <x:c r="Y115" s="27" t="n">
        <x:v>1</x:v>
      </x:c>
      <x:c r="Z115" s="27" t="n">
        <x:v>1</x:v>
      </x:c>
      <x:c r="AA115" s="27" t="n">
        <x:v>1</x:v>
      </x:c>
      <x:c r="AB115" s="27" t="n">
        <x:v>1</x:v>
      </x:c>
      <x:c r="AC115" s="27" t="n">
        <x:v>1</x:v>
      </x:c>
      <x:c r="AD115" s="22"/>
      <x:c r="AE115" s="22"/>
      <x:c r="AF115" s="22"/>
    </x:row>
    <x:row r="116" ht="22" customHeight="1">
      <x:c r="A116" s="35"/>
      <x:c r="B116" s="36"/>
      <x:c r="C116" s="36"/>
      <x:c r="D116" s="37" t="str">
        <x:v>실적</x:v>
      </x:c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  <x:c r="O116" s="46"/>
      <x:c r="P116" s="35"/>
      <x:c r="Q116" s="35"/>
      <x:c r="R116" s="35"/>
      <x:c r="S116" s="35"/>
      <x:c r="T116" s="35"/>
      <x:c r="U116" s="35"/>
      <x:c r="V116" s="35"/>
      <x:c r="W116" s="35"/>
      <x:c r="X116" s="35"/>
      <x:c r="Y116" s="35"/>
      <x:c r="Z116" s="35"/>
      <x:c r="AA116" s="35"/>
      <x:c r="AB116" s="35"/>
      <x:c r="AC116" s="35"/>
      <x:c r="AD116" s="35"/>
      <x:c r="AE116" s="35"/>
      <x:c r="AF116" s="35"/>
    </x:row>
    <x:row r="117" ht="22" customHeight="1">
      <x:c r="A117" s="41" t="str">
        <x:v>10
Alarm/Interlock/Log</x:v>
      </x:c>
      <x:c r="B117" s="32" t="str">
        <x:v>10-01 Door/Laser/Scanner/Stage Interlock</x:v>
      </x:c>
      <x:c r="C117" s="32" t="str">
        <x:v>최종 I/O와 상태를 반영하여 차단순서, Alarm, 해제조건, Fail-safe를 검증한다.</x:v>
      </x:c>
      <x:c r="D117" s="33" t="str">
        <x:v>계획</x:v>
      </x:c>
      <x:c r="E117" s="31"/>
      <x:c r="F117" s="34" t="n">
        <x:v>1</x:v>
      </x:c>
      <x:c r="G117" s="34" t="n">
        <x:v>1</x:v>
      </x:c>
      <x:c r="H117" s="34" t="n">
        <x:v>1</x:v>
      </x:c>
      <x:c r="I117" s="34" t="n">
        <x:v>1</x:v>
      </x:c>
      <x:c r="J117" s="34" t="n">
        <x:v>1</x:v>
      </x:c>
      <x:c r="K117" s="34" t="n">
        <x:v>1</x:v>
      </x:c>
      <x:c r="L117" s="34" t="n">
        <x:v>1</x:v>
      </x:c>
      <x:c r="M117" s="34" t="n">
        <x:v>1</x:v>
      </x:c>
      <x:c r="N117" s="34" t="n">
        <x:v>1</x:v>
      </x:c>
      <x:c r="O117" s="43" t="n">
        <x:v>1</x:v>
      </x:c>
      <x:c r="P117" s="34" t="n">
        <x:v>1</x:v>
      </x:c>
      <x:c r="Q117" s="34" t="n">
        <x:v>1</x:v>
      </x:c>
      <x:c r="R117" s="34" t="n">
        <x:v>1</x:v>
      </x:c>
      <x:c r="S117" s="34" t="n">
        <x:v>1</x:v>
      </x:c>
      <x:c r="T117" s="34" t="n">
        <x:v>1</x:v>
      </x:c>
      <x:c r="U117" s="34" t="n">
        <x:v>1</x:v>
      </x:c>
      <x:c r="V117" s="34" t="n">
        <x:v>1</x:v>
      </x:c>
      <x:c r="W117" s="34" t="n">
        <x:v>1</x:v>
      </x:c>
      <x:c r="X117" s="31"/>
      <x:c r="Y117" s="31"/>
      <x:c r="Z117" s="31"/>
      <x:c r="AA117" s="31"/>
      <x:c r="AB117" s="31"/>
      <x:c r="AC117" s="31"/>
      <x:c r="AD117" s="31"/>
      <x:c r="AE117" s="31"/>
      <x:c r="AF117" s="31"/>
    </x:row>
    <x:row r="118" ht="22" customHeight="1">
      <x:c r="A118" s="22"/>
      <x:c r="B118" s="23"/>
      <x:c r="C118" s="23"/>
      <x:c r="D118" s="24" t="str">
        <x:v>실적</x:v>
      </x:c>
      <x:c r="E118" s="22"/>
      <x:c r="F118" s="30" t="n">
        <x:v>1</x:v>
      </x:c>
      <x:c r="G118" s="30" t="n">
        <x:v>1</x:v>
      </x:c>
      <x:c r="H118" s="30" t="n">
        <x:v>1</x:v>
      </x:c>
      <x:c r="I118" s="30" t="n">
        <x:v>1</x:v>
      </x:c>
      <x:c r="J118" s="30" t="n">
        <x:v>1</x:v>
      </x:c>
      <x:c r="K118" s="30" t="n">
        <x:v>1</x:v>
      </x:c>
      <x:c r="L118" s="30" t="n">
        <x:v>1</x:v>
      </x:c>
      <x:c r="M118" s="30" t="n">
        <x:v>1</x:v>
      </x:c>
      <x:c r="N118" s="22"/>
      <x:c r="O118" s="44"/>
      <x:c r="P118" s="22"/>
      <x:c r="Q118" s="22"/>
      <x:c r="R118" s="22"/>
      <x:c r="S118" s="22"/>
      <x:c r="T118" s="22"/>
      <x:c r="U118" s="22"/>
      <x:c r="V118" s="22"/>
      <x:c r="W118" s="22"/>
      <x:c r="X118" s="22"/>
      <x:c r="Y118" s="22"/>
      <x:c r="Z118" s="22"/>
      <x:c r="AA118" s="22"/>
      <x:c r="AB118" s="22"/>
      <x:c r="AC118" s="22"/>
      <x:c r="AD118" s="22"/>
      <x:c r="AE118" s="22"/>
      <x:c r="AF118" s="22"/>
    </x:row>
    <x:row r="119" ht="22" customHeight="1">
      <x:c r="A119" s="22"/>
      <x:c r="B119" s="23" t="str">
        <x:v>10-02 Alarm·Reset·Recovery</x:v>
      </x:c>
      <x:c r="C119" s="23" t="str">
        <x:v>Alarm Code/등급/원인/조치, Reset Handshake, 단계별 Recovery와 History를 통합한다.</x:v>
      </x:c>
      <x:c r="D119" s="24" t="str">
        <x:v>계획</x:v>
      </x:c>
      <x:c r="E119" s="22"/>
      <x:c r="F119" s="22"/>
      <x:c r="G119" s="22"/>
      <x:c r="H119" s="22"/>
      <x:c r="I119" s="27" t="n">
        <x:v>1</x:v>
      </x:c>
      <x:c r="J119" s="27" t="n">
        <x:v>1</x:v>
      </x:c>
      <x:c r="K119" s="27" t="n">
        <x:v>1</x:v>
      </x:c>
      <x:c r="L119" s="27" t="n">
        <x:v>1</x:v>
      </x:c>
      <x:c r="M119" s="27" t="n">
        <x:v>1</x:v>
      </x:c>
      <x:c r="N119" s="27" t="n">
        <x:v>1</x:v>
      </x:c>
      <x:c r="O119" s="45" t="n">
        <x:v>1</x:v>
      </x:c>
      <x:c r="P119" s="27" t="n">
        <x:v>1</x:v>
      </x:c>
      <x:c r="Q119" s="27" t="n">
        <x:v>1</x:v>
      </x:c>
      <x:c r="R119" s="27" t="n">
        <x:v>1</x:v>
      </x:c>
      <x:c r="S119" s="27" t="n">
        <x:v>1</x:v>
      </x:c>
      <x:c r="T119" s="27" t="n">
        <x:v>1</x:v>
      </x:c>
      <x:c r="U119" s="27" t="n">
        <x:v>1</x:v>
      </x:c>
      <x:c r="V119" s="27" t="n">
        <x:v>1</x:v>
      </x:c>
      <x:c r="W119" s="27" t="n">
        <x:v>1</x:v>
      </x:c>
      <x:c r="X119" s="27" t="n">
        <x:v>1</x:v>
      </x:c>
      <x:c r="Y119" s="27" t="n">
        <x:v>1</x:v>
      </x:c>
      <x:c r="Z119" s="27" t="n">
        <x:v>1</x:v>
      </x:c>
      <x:c r="AA119" s="22"/>
      <x:c r="AB119" s="22"/>
      <x:c r="AC119" s="22"/>
      <x:c r="AD119" s="22"/>
      <x:c r="AE119" s="22"/>
      <x:c r="AF119" s="22"/>
    </x:row>
    <x:row r="120" ht="22" customHeight="1">
      <x:c r="A120" s="22"/>
      <x:c r="B120" s="23"/>
      <x:c r="C120" s="23"/>
      <x:c r="D120" s="24" t="str">
        <x:v>실적</x:v>
      </x:c>
      <x:c r="E120" s="22"/>
      <x:c r="F120" s="22"/>
      <x:c r="G120" s="22"/>
      <x:c r="H120" s="22"/>
      <x:c r="I120" s="30" t="n">
        <x:v>1</x:v>
      </x:c>
      <x:c r="J120" s="30" t="n">
        <x:v>1</x:v>
      </x:c>
      <x:c r="K120" s="30" t="n">
        <x:v>1</x:v>
      </x:c>
      <x:c r="L120" s="30" t="n">
        <x:v>1</x:v>
      </x:c>
      <x:c r="M120" s="30" t="n">
        <x:v>1</x:v>
      </x:c>
      <x:c r="N120" s="22"/>
      <x:c r="O120" s="44"/>
      <x:c r="P120" s="22"/>
      <x:c r="Q120" s="22"/>
      <x:c r="R120" s="22"/>
      <x:c r="S120" s="22"/>
      <x:c r="T120" s="22"/>
      <x:c r="U120" s="22"/>
      <x:c r="V120" s="22"/>
      <x:c r="W120" s="22"/>
      <x:c r="X120" s="22"/>
      <x:c r="Y120" s="22"/>
      <x:c r="Z120" s="22"/>
      <x:c r="AA120" s="22"/>
      <x:c r="AB120" s="22"/>
      <x:c r="AC120" s="22"/>
      <x:c r="AD120" s="22"/>
      <x:c r="AE120" s="22"/>
      <x:c r="AF120" s="22"/>
    </x:row>
    <x:row r="121" ht="22" customHeight="1">
      <x:c r="A121" s="22"/>
      <x:c r="B121" s="23" t="str">
        <x:v>10-03 Interface·Sequence·Alarm·Recipe Log</x:v>
      </x:c>
      <x:c r="C121" s="23" t="str">
        <x:v>상관ID, 명령/응답, 단계, 이전/변경값, 오류 Stack과 보존·Rotation·Server 이관정책을 적용한다.</x:v>
      </x:c>
      <x:c r="D121" s="24" t="str">
        <x:v>계획</x:v>
      </x:c>
      <x:c r="E121" s="22"/>
      <x:c r="F121" s="22"/>
      <x:c r="G121" s="27" t="n">
        <x:v>1</x:v>
      </x:c>
      <x:c r="H121" s="27" t="n">
        <x:v>1</x:v>
      </x:c>
      <x:c r="I121" s="27" t="n">
        <x:v>1</x:v>
      </x:c>
      <x:c r="J121" s="27" t="n">
        <x:v>1</x:v>
      </x:c>
      <x:c r="K121" s="27" t="n">
        <x:v>1</x:v>
      </x:c>
      <x:c r="L121" s="27" t="n">
        <x:v>1</x:v>
      </x:c>
      <x:c r="M121" s="27" t="n">
        <x:v>1</x:v>
      </x:c>
      <x:c r="N121" s="27" t="n">
        <x:v>1</x:v>
      </x:c>
      <x:c r="O121" s="45" t="n">
        <x:v>1</x:v>
      </x:c>
      <x:c r="P121" s="27" t="n">
        <x:v>1</x:v>
      </x:c>
      <x:c r="Q121" s="27" t="n">
        <x:v>1</x:v>
      </x:c>
      <x:c r="R121" s="27" t="n">
        <x:v>1</x:v>
      </x:c>
      <x:c r="S121" s="27" t="n">
        <x:v>1</x:v>
      </x:c>
      <x:c r="T121" s="27" t="n">
        <x:v>1</x:v>
      </x:c>
      <x:c r="U121" s="27" t="n">
        <x:v>1</x:v>
      </x:c>
      <x:c r="V121" s="27" t="n">
        <x:v>1</x:v>
      </x:c>
      <x:c r="W121" s="27" t="n">
        <x:v>1</x:v>
      </x:c>
      <x:c r="X121" s="27" t="n">
        <x:v>1</x:v>
      </x:c>
      <x:c r="Y121" s="27" t="n">
        <x:v>1</x:v>
      </x:c>
      <x:c r="Z121" s="27" t="n">
        <x:v>1</x:v>
      </x:c>
      <x:c r="AA121" s="22"/>
      <x:c r="AB121" s="22"/>
      <x:c r="AC121" s="22"/>
      <x:c r="AD121" s="22"/>
      <x:c r="AE121" s="22"/>
      <x:c r="AF121" s="22"/>
    </x:row>
    <x:row r="122" ht="22" customHeight="1">
      <x:c r="A122" s="22"/>
      <x:c r="B122" s="23"/>
      <x:c r="C122" s="23"/>
      <x:c r="D122" s="24" t="str">
        <x:v>실적</x:v>
      </x:c>
      <x:c r="E122" s="22"/>
      <x:c r="F122" s="22"/>
      <x:c r="G122" s="30" t="n">
        <x:v>1</x:v>
      </x:c>
      <x:c r="H122" s="30" t="n">
        <x:v>1</x:v>
      </x:c>
      <x:c r="I122" s="30" t="n">
        <x:v>1</x:v>
      </x:c>
      <x:c r="J122" s="30" t="n">
        <x:v>1</x:v>
      </x:c>
      <x:c r="K122" s="30" t="n">
        <x:v>1</x:v>
      </x:c>
      <x:c r="L122" s="30" t="n">
        <x:v>1</x:v>
      </x:c>
      <x:c r="M122" s="30" t="n">
        <x:v>1</x:v>
      </x:c>
      <x:c r="N122" s="30" t="n">
        <x:v>1</x:v>
      </x:c>
      <x:c r="O122" s="44"/>
      <x:c r="P122" s="22"/>
      <x:c r="Q122" s="22"/>
      <x:c r="R122" s="22"/>
      <x:c r="S122" s="22"/>
      <x:c r="T122" s="22"/>
      <x:c r="U122" s="22"/>
      <x:c r="V122" s="22"/>
      <x:c r="W122" s="22"/>
      <x:c r="X122" s="22"/>
      <x:c r="Y122" s="22"/>
      <x:c r="Z122" s="22"/>
      <x:c r="AA122" s="22"/>
      <x:c r="AB122" s="22"/>
      <x:c r="AC122" s="22"/>
      <x:c r="AD122" s="22"/>
      <x:c r="AE122" s="22"/>
      <x:c r="AF122" s="22"/>
    </x:row>
    <x:row r="123" ht="22" customHeight="1">
      <x:c r="A123" s="22"/>
      <x:c r="B123" s="23" t="str">
        <x:v>10-04 설정 무결성·복구</x:v>
      </x:c>
      <x:c r="C123" s="23" t="str">
        <x:v>설정/Recipe/보정 파일 checksum·version·atomic write·startup restore·손상복구를 검증한다.</x:v>
      </x:c>
      <x:c r="D123" s="24" t="str">
        <x:v>계획</x:v>
      </x:c>
      <x:c r="E123" s="22"/>
      <x:c r="F123" s="22"/>
      <x:c r="G123" s="22"/>
      <x:c r="H123" s="22"/>
      <x:c r="I123" s="22"/>
      <x:c r="J123" s="22"/>
      <x:c r="K123" s="27" t="n">
        <x:v>1</x:v>
      </x:c>
      <x:c r="L123" s="27" t="n">
        <x:v>1</x:v>
      </x:c>
      <x:c r="M123" s="27" t="n">
        <x:v>1</x:v>
      </x:c>
      <x:c r="N123" s="27" t="n">
        <x:v>1</x:v>
      </x:c>
      <x:c r="O123" s="45" t="n">
        <x:v>1</x:v>
      </x:c>
      <x:c r="P123" s="27" t="n">
        <x:v>1</x:v>
      </x:c>
      <x:c r="Q123" s="27" t="n">
        <x:v>1</x:v>
      </x:c>
      <x:c r="R123" s="27" t="n">
        <x:v>1</x:v>
      </x:c>
      <x:c r="S123" s="27" t="n">
        <x:v>1</x:v>
      </x:c>
      <x:c r="T123" s="27" t="n">
        <x:v>1</x:v>
      </x:c>
      <x:c r="U123" s="27" t="n">
        <x:v>1</x:v>
      </x:c>
      <x:c r="V123" s="27" t="n">
        <x:v>1</x:v>
      </x:c>
      <x:c r="W123" s="27" t="n">
        <x:v>1</x:v>
      </x:c>
      <x:c r="X123" s="27" t="n">
        <x:v>1</x:v>
      </x:c>
      <x:c r="Y123" s="27" t="n">
        <x:v>1</x:v>
      </x:c>
      <x:c r="Z123" s="27" t="n">
        <x:v>1</x:v>
      </x:c>
      <x:c r="AA123" s="27" t="n">
        <x:v>1</x:v>
      </x:c>
      <x:c r="AB123" s="22"/>
      <x:c r="AC123" s="22"/>
      <x:c r="AD123" s="22"/>
      <x:c r="AE123" s="22"/>
      <x:c r="AF123" s="22"/>
    </x:row>
    <x:row r="124" ht="22" customHeight="1">
      <x:c r="A124" s="35"/>
      <x:c r="B124" s="36"/>
      <x:c r="C124" s="36"/>
      <x:c r="D124" s="37" t="str">
        <x:v>실적</x:v>
      </x:c>
      <x:c r="E124" s="35"/>
      <x:c r="F124" s="35"/>
      <x:c r="G124" s="35"/>
      <x:c r="H124" s="35"/>
      <x:c r="I124" s="35"/>
      <x:c r="J124" s="35"/>
      <x:c r="K124" s="38" t="n">
        <x:v>1</x:v>
      </x:c>
      <x:c r="L124" s="38" t="n">
        <x:v>1</x:v>
      </x:c>
      <x:c r="M124" s="38" t="n">
        <x:v>1</x:v>
      </x:c>
      <x:c r="N124" s="38" t="n">
        <x:v>1</x:v>
      </x:c>
      <x:c r="O124" s="48" t="n">
        <x:v>1</x:v>
      </x:c>
      <x:c r="P124" s="35"/>
      <x:c r="Q124" s="35"/>
      <x:c r="R124" s="35"/>
      <x:c r="S124" s="35"/>
      <x:c r="T124" s="35"/>
      <x:c r="U124" s="35"/>
      <x:c r="V124" s="35"/>
      <x:c r="W124" s="35"/>
      <x:c r="X124" s="35"/>
      <x:c r="Y124" s="35"/>
      <x:c r="Z124" s="35"/>
      <x:c r="AA124" s="35"/>
      <x:c r="AB124" s="35"/>
      <x:c r="AC124" s="35"/>
      <x:c r="AD124" s="35"/>
      <x:c r="AE124" s="35"/>
      <x:c r="AF124" s="35"/>
    </x:row>
    <x:row r="125" ht="22" customHeight="1">
      <x:c r="A125" s="41" t="str">
        <x:v>11
통합 및 장비 검증</x:v>
      </x:c>
      <x:c r="B125" s="32" t="str">
        <x:v>11-01 시뮬레이션·Dry Run</x:v>
      </x:c>
      <x:c r="C125" s="32" t="str">
        <x:v>가상 PLC/장비로 정상/Timeout/Interlock/Recovery/데이터 손상 시나리오를 자동화한다.</x:v>
      </x:c>
      <x:c r="D125" s="33" t="str">
        <x:v>계획</x:v>
      </x:c>
      <x:c r="E125" s="34" t="n">
        <x:v>1</x:v>
      </x:c>
      <x:c r="F125" s="34" t="n">
        <x:v>1</x:v>
      </x:c>
      <x:c r="G125" s="34" t="n">
        <x:v>1</x:v>
      </x:c>
      <x:c r="H125" s="34" t="n">
        <x:v>1</x:v>
      </x:c>
      <x:c r="I125" s="34" t="n">
        <x:v>1</x:v>
      </x:c>
      <x:c r="J125" s="34" t="n">
        <x:v>1</x:v>
      </x:c>
      <x:c r="K125" s="34" t="n">
        <x:v>1</x:v>
      </x:c>
      <x:c r="L125" s="34" t="n">
        <x:v>1</x:v>
      </x:c>
      <x:c r="M125" s="34" t="n">
        <x:v>1</x:v>
      </x:c>
      <x:c r="N125" s="34" t="n">
        <x:v>1</x:v>
      </x:c>
      <x:c r="O125" s="43" t="n">
        <x:v>1</x:v>
      </x:c>
      <x:c r="P125" s="34" t="n">
        <x:v>1</x:v>
      </x:c>
      <x:c r="Q125" s="34" t="n">
        <x:v>1</x:v>
      </x:c>
      <x:c r="R125" s="34" t="n">
        <x:v>1</x:v>
      </x:c>
      <x:c r="S125" s="34" t="n">
        <x:v>1</x:v>
      </x:c>
      <x:c r="T125" s="34" t="n">
        <x:v>1</x:v>
      </x:c>
      <x:c r="U125" s="34" t="n">
        <x:v>1</x:v>
      </x:c>
      <x:c r="V125" s="31"/>
      <x:c r="W125" s="31"/>
      <x:c r="X125" s="31"/>
      <x:c r="Y125" s="31"/>
      <x:c r="Z125" s="31"/>
      <x:c r="AA125" s="31"/>
      <x:c r="AB125" s="31"/>
      <x:c r="AC125" s="31"/>
      <x:c r="AD125" s="31"/>
      <x:c r="AE125" s="31"/>
      <x:c r="AF125" s="31"/>
    </x:row>
    <x:row r="126" ht="22" customHeight="1">
      <x:c r="A126" s="22"/>
      <x:c r="B126" s="23"/>
      <x:c r="C126" s="23"/>
      <x:c r="D126" s="24" t="str">
        <x:v>실적</x:v>
      </x:c>
      <x:c r="E126" s="30" t="n">
        <x:v>1</x:v>
      </x:c>
      <x:c r="F126" s="30" t="n">
        <x:v>1</x:v>
      </x:c>
      <x:c r="G126" s="30" t="n">
        <x:v>1</x:v>
      </x:c>
      <x:c r="H126" s="30" t="n">
        <x:v>1</x:v>
      </x:c>
      <x:c r="I126" s="30" t="n">
        <x:v>1</x:v>
      </x:c>
      <x:c r="J126" s="30" t="n">
        <x:v>1</x:v>
      </x:c>
      <x:c r="K126" s="30" t="n">
        <x:v>1</x:v>
      </x:c>
      <x:c r="L126" s="30" t="n">
        <x:v>1</x:v>
      </x:c>
      <x:c r="M126" s="30" t="n">
        <x:v>1</x:v>
      </x:c>
      <x:c r="N126" s="30" t="n">
        <x:v>1</x:v>
      </x:c>
      <x:c r="O126" s="44"/>
      <x:c r="P126" s="22"/>
      <x:c r="Q126" s="22"/>
      <x:c r="R126" s="22"/>
      <x:c r="S126" s="22"/>
      <x:c r="T126" s="22"/>
      <x:c r="U126" s="22"/>
      <x:c r="V126" s="22"/>
      <x:c r="W126" s="22"/>
      <x:c r="X126" s="22"/>
      <x:c r="Y126" s="22"/>
      <x:c r="Z126" s="22"/>
      <x:c r="AA126" s="22"/>
      <x:c r="AB126" s="22"/>
      <x:c r="AC126" s="22"/>
      <x:c r="AD126" s="22"/>
      <x:c r="AE126" s="22"/>
      <x:c r="AF126" s="22"/>
    </x:row>
    <x:row r="127" ht="22" customHeight="1">
      <x:c r="A127" s="22"/>
      <x:c r="B127" s="23" t="str">
        <x:v>11-02 단위시험</x:v>
      </x:c>
      <x:c r="C127" s="23" t="str">
        <x:v>Driver/Parser/좌표/Recipe/Alarm/Log/Sequence 함수의 경계값·오류주입 시험과 결과를 남긴다.</x:v>
      </x:c>
      <x:c r="D127" s="24" t="str">
        <x:v>계획</x:v>
      </x:c>
      <x:c r="E127" s="22"/>
      <x:c r="F127" s="27" t="n">
        <x:v>1</x:v>
      </x:c>
      <x:c r="G127" s="27" t="n">
        <x:v>1</x:v>
      </x:c>
      <x:c r="H127" s="27" t="n">
        <x:v>1</x:v>
      </x:c>
      <x:c r="I127" s="27" t="n">
        <x:v>1</x:v>
      </x:c>
      <x:c r="J127" s="27" t="n">
        <x:v>1</x:v>
      </x:c>
      <x:c r="K127" s="27" t="n">
        <x:v>1</x:v>
      </x:c>
      <x:c r="L127" s="27" t="n">
        <x:v>1</x:v>
      </x:c>
      <x:c r="M127" s="27" t="n">
        <x:v>1</x:v>
      </x:c>
      <x:c r="N127" s="27" t="n">
        <x:v>1</x:v>
      </x:c>
      <x:c r="O127" s="45" t="n">
        <x:v>1</x:v>
      </x:c>
      <x:c r="P127" s="27" t="n">
        <x:v>1</x:v>
      </x:c>
      <x:c r="Q127" s="27" t="n">
        <x:v>1</x:v>
      </x:c>
      <x:c r="R127" s="27" t="n">
        <x:v>1</x:v>
      </x:c>
      <x:c r="S127" s="27" t="n">
        <x:v>1</x:v>
      </x:c>
      <x:c r="T127" s="27" t="n">
        <x:v>1</x:v>
      </x:c>
      <x:c r="U127" s="27" t="n">
        <x:v>1</x:v>
      </x:c>
      <x:c r="V127" s="27" t="n">
        <x:v>1</x:v>
      </x:c>
      <x:c r="W127" s="27" t="n">
        <x:v>1</x:v>
      </x:c>
      <x:c r="X127" s="27" t="n">
        <x:v>1</x:v>
      </x:c>
      <x:c r="Y127" s="27" t="n">
        <x:v>1</x:v>
      </x:c>
      <x:c r="Z127" s="22"/>
      <x:c r="AA127" s="22"/>
      <x:c r="AB127" s="22"/>
      <x:c r="AC127" s="22"/>
      <x:c r="AD127" s="22"/>
      <x:c r="AE127" s="22"/>
      <x:c r="AF127" s="22"/>
    </x:row>
    <x:row r="128" ht="22" customHeight="1">
      <x:c r="A128" s="22"/>
      <x:c r="B128" s="23"/>
      <x:c r="C128" s="23"/>
      <x:c r="D128" s="24" t="str">
        <x:v>실적</x:v>
      </x:c>
      <x:c r="E128" s="22"/>
      <x:c r="F128" s="30" t="n">
        <x:v>1</x:v>
      </x:c>
      <x:c r="G128" s="30" t="n">
        <x:v>1</x:v>
      </x:c>
      <x:c r="H128" s="30" t="n">
        <x:v>1</x:v>
      </x:c>
      <x:c r="I128" s="30" t="n">
        <x:v>1</x:v>
      </x:c>
      <x:c r="J128" s="30" t="n">
        <x:v>1</x:v>
      </x:c>
      <x:c r="K128" s="30" t="n">
        <x:v>1</x:v>
      </x:c>
      <x:c r="L128" s="30" t="n">
        <x:v>1</x:v>
      </x:c>
      <x:c r="M128" s="30" t="n">
        <x:v>1</x:v>
      </x:c>
      <x:c r="N128" s="30" t="n">
        <x:v>1</x:v>
      </x:c>
      <x:c r="O128" s="44"/>
      <x:c r="P128" s="22"/>
      <x:c r="Q128" s="22"/>
      <x:c r="R128" s="22"/>
      <x:c r="S128" s="22"/>
      <x:c r="T128" s="22"/>
      <x:c r="U128" s="22"/>
      <x:c r="V128" s="22"/>
      <x:c r="W128" s="22"/>
      <x:c r="X128" s="22"/>
      <x:c r="Y128" s="22"/>
      <x:c r="Z128" s="22"/>
      <x:c r="AA128" s="22"/>
      <x:c r="AB128" s="22"/>
      <x:c r="AC128" s="22"/>
      <x:c r="AD128" s="22"/>
      <x:c r="AE128" s="22"/>
      <x:c r="AF128" s="22"/>
    </x:row>
    <x:row r="129" ht="22" customHeight="1">
      <x:c r="A129" s="22"/>
      <x:c r="B129" s="23" t="str">
        <x:v>11-03 통신 통합시험</x:v>
      </x:c>
      <x:c r="C129" s="23" t="str">
        <x:v>PLC/CIM/Vision/Stage/Scanner/Laser/Optics의 Handshake·Timeout·재연결을 통합 검증한다.</x:v>
      </x:c>
      <x:c r="D129" s="24" t="str">
        <x:v>계획</x:v>
      </x:c>
      <x:c r="E129" s="22"/>
      <x:c r="F129" s="22"/>
      <x:c r="G129" s="22"/>
      <x:c r="H129" s="22"/>
      <x:c r="I129" s="22"/>
      <x:c r="J129" s="22"/>
      <x:c r="K129" s="22"/>
      <x:c r="L129" s="22"/>
      <x:c r="M129" s="22"/>
      <x:c r="N129" s="22"/>
      <x:c r="O129" s="44"/>
      <x:c r="P129" s="22"/>
      <x:c r="Q129" s="22"/>
      <x:c r="R129" s="27" t="n">
        <x:v>1</x:v>
      </x:c>
      <x:c r="S129" s="27" t="n">
        <x:v>1</x:v>
      </x:c>
      <x:c r="T129" s="27" t="n">
        <x:v>1</x:v>
      </x:c>
      <x:c r="U129" s="27" t="n">
        <x:v>1</x:v>
      </x:c>
      <x:c r="V129" s="27" t="n">
        <x:v>1</x:v>
      </x:c>
      <x:c r="W129" s="27" t="n">
        <x:v>1</x:v>
      </x:c>
      <x:c r="X129" s="27" t="n">
        <x:v>1</x:v>
      </x:c>
      <x:c r="Y129" s="27" t="n">
        <x:v>1</x:v>
      </x:c>
      <x:c r="Z129" s="27" t="n">
        <x:v>1</x:v>
      </x:c>
      <x:c r="AA129" s="27" t="n">
        <x:v>1</x:v>
      </x:c>
      <x:c r="AB129" s="27" t="n">
        <x:v>1</x:v>
      </x:c>
      <x:c r="AC129" s="22"/>
      <x:c r="AD129" s="22"/>
      <x:c r="AE129" s="22"/>
      <x:c r="AF129" s="22"/>
    </x:row>
    <x:row r="130" ht="22" customHeight="1">
      <x:c r="A130" s="22"/>
      <x:c r="B130" s="23"/>
      <x:c r="C130" s="23"/>
      <x:c r="D130" s="24" t="str">
        <x:v>실적</x:v>
      </x:c>
      <x:c r="E130" s="22"/>
      <x:c r="F130" s="22"/>
      <x:c r="G130" s="22"/>
      <x:c r="H130" s="22"/>
      <x:c r="I130" s="22"/>
      <x:c r="J130" s="22"/>
      <x:c r="K130" s="22"/>
      <x:c r="L130" s="22"/>
      <x:c r="M130" s="22"/>
      <x:c r="N130" s="22"/>
      <x:c r="O130" s="44"/>
      <x:c r="P130" s="22"/>
      <x:c r="Q130" s="22"/>
      <x:c r="R130" s="22"/>
      <x:c r="S130" s="22"/>
      <x:c r="T130" s="22"/>
      <x:c r="U130" s="22"/>
      <x:c r="V130" s="22"/>
      <x:c r="W130" s="22"/>
      <x:c r="X130" s="22"/>
      <x:c r="Y130" s="22"/>
      <x:c r="Z130" s="22"/>
      <x:c r="AA130" s="22"/>
      <x:c r="AB130" s="22"/>
      <x:c r="AC130" s="22"/>
      <x:c r="AD130" s="22"/>
      <x:c r="AE130" s="22"/>
      <x:c r="AF130" s="22"/>
    </x:row>
    <x:row r="131" ht="22" customHeight="1">
      <x:c r="A131" s="22"/>
      <x:c r="B131" s="23" t="str">
        <x:v>11-04 장비 실물 기능시험</x:v>
      </x:c>
      <x:c r="C131" s="23" t="str">
        <x:v>Auto/Manual/Recipe/Align/Review/Power/Recovery의 실물 Trace·로그·증빙을 확보한다.</x:v>
      </x:c>
      <x:c r="D131" s="24" t="str">
        <x:v>계획</x:v>
      </x:c>
      <x:c r="E131" s="22"/>
      <x:c r="F131" s="22"/>
      <x:c r="G131" s="22"/>
      <x:c r="H131" s="22"/>
      <x:c r="I131" s="22"/>
      <x:c r="J131" s="22"/>
      <x:c r="K131" s="22"/>
      <x:c r="L131" s="22"/>
      <x:c r="M131" s="22"/>
      <x:c r="N131" s="22"/>
      <x:c r="O131" s="44"/>
      <x:c r="P131" s="22"/>
      <x:c r="Q131" s="22"/>
      <x:c r="R131" s="22"/>
      <x:c r="S131" s="22"/>
      <x:c r="T131" s="22"/>
      <x:c r="U131" s="22"/>
      <x:c r="V131" s="27" t="n">
        <x:v>1</x:v>
      </x:c>
      <x:c r="W131" s="27" t="n">
        <x:v>1</x:v>
      </x:c>
      <x:c r="X131" s="27" t="n">
        <x:v>1</x:v>
      </x:c>
      <x:c r="Y131" s="27" t="n">
        <x:v>1</x:v>
      </x:c>
      <x:c r="Z131" s="27" t="n">
        <x:v>1</x:v>
      </x:c>
      <x:c r="AA131" s="27" t="n">
        <x:v>1</x:v>
      </x:c>
      <x:c r="AB131" s="27" t="n">
        <x:v>1</x:v>
      </x:c>
      <x:c r="AC131" s="27" t="n">
        <x:v>1</x:v>
      </x:c>
      <x:c r="AD131" s="22"/>
      <x:c r="AE131" s="22"/>
      <x:c r="AF131" s="22"/>
    </x:row>
    <x:row r="132" ht="22" customHeight="1">
      <x:c r="A132" s="22"/>
      <x:c r="B132" s="23"/>
      <x:c r="C132" s="23"/>
      <x:c r="D132" s="24" t="str">
        <x:v>실적</x:v>
      </x:c>
      <x:c r="E132" s="22"/>
      <x:c r="F132" s="22"/>
      <x:c r="G132" s="22"/>
      <x:c r="H132" s="22"/>
      <x:c r="I132" s="22"/>
      <x:c r="J132" s="22"/>
      <x:c r="K132" s="22"/>
      <x:c r="L132" s="22"/>
      <x:c r="M132" s="22"/>
      <x:c r="N132" s="22"/>
      <x:c r="O132" s="44"/>
      <x:c r="P132" s="22"/>
      <x:c r="Q132" s="22"/>
      <x:c r="R132" s="22"/>
      <x:c r="S132" s="22"/>
      <x:c r="T132" s="22"/>
      <x:c r="U132" s="22"/>
      <x:c r="V132" s="22"/>
      <x:c r="W132" s="22"/>
      <x:c r="X132" s="22"/>
      <x:c r="Y132" s="22"/>
      <x:c r="Z132" s="22"/>
      <x:c r="AA132" s="22"/>
      <x:c r="AB132" s="22"/>
      <x:c r="AC132" s="22"/>
      <x:c r="AD132" s="22"/>
      <x:c r="AE132" s="22"/>
      <x:c r="AF132" s="22"/>
    </x:row>
    <x:row r="133" ht="22" customHeight="1">
      <x:c r="A133" s="22"/>
      <x:c r="B133" s="23" t="str">
        <x:v>11-05 단일·8 Head 동시시험</x:v>
      </x:c>
      <x:c r="C133" s="23" t="str">
        <x:v>Head 사용/미사용, 경계 누락, 축부호, 동기, Fault 격리와 복구를 검증한다.</x:v>
      </x:c>
      <x:c r="D133" s="24" t="str">
        <x:v>계획</x:v>
      </x:c>
      <x:c r="E133" s="22"/>
      <x:c r="F133" s="22"/>
      <x:c r="G133" s="22"/>
      <x:c r="H133" s="22"/>
      <x:c r="I133" s="22"/>
      <x:c r="J133" s="22"/>
      <x:c r="K133" s="22"/>
      <x:c r="L133" s="22"/>
      <x:c r="M133" s="22"/>
      <x:c r="N133" s="22"/>
      <x:c r="O133" s="44"/>
      <x:c r="P133" s="22"/>
      <x:c r="Q133" s="22"/>
      <x:c r="R133" s="22"/>
      <x:c r="S133" s="22"/>
      <x:c r="T133" s="22"/>
      <x:c r="U133" s="22"/>
      <x:c r="V133" s="22"/>
      <x:c r="W133" s="27" t="n">
        <x:v>1</x:v>
      </x:c>
      <x:c r="X133" s="27" t="n">
        <x:v>1</x:v>
      </x:c>
      <x:c r="Y133" s="27" t="n">
        <x:v>1</x:v>
      </x:c>
      <x:c r="Z133" s="27" t="n">
        <x:v>1</x:v>
      </x:c>
      <x:c r="AA133" s="27" t="n">
        <x:v>1</x:v>
      </x:c>
      <x:c r="AB133" s="27" t="n">
        <x:v>1</x:v>
      </x:c>
      <x:c r="AC133" s="27" t="n">
        <x:v>1</x:v>
      </x:c>
      <x:c r="AD133" s="22"/>
      <x:c r="AE133" s="22"/>
      <x:c r="AF133" s="22"/>
    </x:row>
    <x:row r="134" ht="22" customHeight="1">
      <x:c r="A134" s="22"/>
      <x:c r="B134" s="23"/>
      <x:c r="C134" s="23"/>
      <x:c r="D134" s="24" t="str">
        <x:v>실적</x:v>
      </x:c>
      <x:c r="E134" s="22"/>
      <x:c r="F134" s="22"/>
      <x:c r="G134" s="22"/>
      <x:c r="H134" s="22"/>
      <x:c r="I134" s="22"/>
      <x:c r="J134" s="22"/>
      <x:c r="K134" s="22"/>
      <x:c r="L134" s="22"/>
      <x:c r="M134" s="22"/>
      <x:c r="N134" s="22"/>
      <x:c r="O134" s="44"/>
      <x:c r="P134" s="22"/>
      <x:c r="Q134" s="22"/>
      <x:c r="R134" s="22"/>
      <x:c r="S134" s="22"/>
      <x:c r="T134" s="22"/>
      <x:c r="U134" s="22"/>
      <x:c r="V134" s="22"/>
      <x:c r="W134" s="22"/>
      <x:c r="X134" s="22"/>
      <x:c r="Y134" s="22"/>
      <x:c r="Z134" s="22"/>
      <x:c r="AA134" s="22"/>
      <x:c r="AB134" s="22"/>
      <x:c r="AC134" s="22"/>
      <x:c r="AD134" s="22"/>
      <x:c r="AE134" s="22"/>
      <x:c r="AF134" s="22"/>
    </x:row>
    <x:row r="135" ht="22" customHeight="1">
      <x:c r="A135" s="22"/>
      <x:c r="B135" s="23" t="str">
        <x:v>11-06 장시간 연속운전</x:v>
      </x:c>
      <x:c r="C135" s="23" t="str">
        <x:v>8/24/72시간 연속가동의 메모리·통신·로그·온도·Drift·Power 안정성을 측정한다.</x:v>
      </x:c>
      <x:c r="D135" s="24" t="str">
        <x:v>계획</x:v>
      </x:c>
      <x:c r="E135" s="22"/>
      <x:c r="F135" s="22"/>
      <x:c r="G135" s="22"/>
      <x:c r="H135" s="22"/>
      <x:c r="I135" s="22"/>
      <x:c r="J135" s="22"/>
      <x:c r="K135" s="22"/>
      <x:c r="L135" s="22"/>
      <x:c r="M135" s="22"/>
      <x:c r="N135" s="22"/>
      <x:c r="O135" s="44"/>
      <x:c r="P135" s="22"/>
      <x:c r="Q135" s="22"/>
      <x:c r="R135" s="22"/>
      <x:c r="S135" s="22"/>
      <x:c r="T135" s="22"/>
      <x:c r="U135" s="22"/>
      <x:c r="V135" s="22"/>
      <x:c r="W135" s="22"/>
      <x:c r="X135" s="22"/>
      <x:c r="Y135" s="22"/>
      <x:c r="Z135" s="27" t="n">
        <x:v>1</x:v>
      </x:c>
      <x:c r="AA135" s="27" t="n">
        <x:v>1</x:v>
      </x:c>
      <x:c r="AB135" s="27" t="n">
        <x:v>1</x:v>
      </x:c>
      <x:c r="AC135" s="27" t="n">
        <x:v>1</x:v>
      </x:c>
      <x:c r="AD135" s="27" t="n">
        <x:v>1</x:v>
      </x:c>
      <x:c r="AE135" s="22"/>
      <x:c r="AF135" s="22"/>
    </x:row>
    <x:row r="136" ht="22" customHeight="1">
      <x:c r="A136" s="22"/>
      <x:c r="B136" s="23"/>
      <x:c r="C136" s="23"/>
      <x:c r="D136" s="24" t="str">
        <x:v>실적</x:v>
      </x:c>
      <x:c r="E136" s="22"/>
      <x:c r="F136" s="22"/>
      <x:c r="G136" s="22"/>
      <x:c r="H136" s="22"/>
      <x:c r="I136" s="22"/>
      <x:c r="J136" s="22"/>
      <x:c r="K136" s="22"/>
      <x:c r="L136" s="22"/>
      <x:c r="M136" s="22"/>
      <x:c r="N136" s="22"/>
      <x:c r="O136" s="44"/>
      <x:c r="P136" s="22"/>
      <x:c r="Q136" s="22"/>
      <x:c r="R136" s="22"/>
      <x:c r="S136" s="22"/>
      <x:c r="T136" s="22"/>
      <x:c r="U136" s="22"/>
      <x:c r="V136" s="22"/>
      <x:c r="W136" s="22"/>
      <x:c r="X136" s="22"/>
      <x:c r="Y136" s="22"/>
      <x:c r="Z136" s="22"/>
      <x:c r="AA136" s="22"/>
      <x:c r="AB136" s="22"/>
      <x:c r="AC136" s="22"/>
      <x:c r="AD136" s="22"/>
      <x:c r="AE136" s="22"/>
      <x:c r="AF136" s="22"/>
    </x:row>
    <x:row r="137" ht="22" customHeight="1">
      <x:c r="A137" s="22"/>
      <x:c r="B137" s="23" t="str">
        <x:v>11-07 성능·Tact 검증</x:v>
      </x:c>
      <x:c r="C137" s="23" t="str">
        <x:v>Recipe 규모별 Tact, Scan/Stage/Review 병목, 응답시간과 목표 충족을 측정·개선한다.</x:v>
      </x:c>
      <x:c r="D137" s="24" t="str">
        <x:v>계획</x:v>
      </x:c>
      <x:c r="E137" s="22"/>
      <x:c r="F137" s="22"/>
      <x:c r="G137" s="22"/>
      <x:c r="H137" s="22"/>
      <x:c r="I137" s="22"/>
      <x:c r="J137" s="22"/>
      <x:c r="K137" s="22"/>
      <x:c r="L137" s="22"/>
      <x:c r="M137" s="22"/>
      <x:c r="N137" s="22"/>
      <x:c r="O137" s="44"/>
      <x:c r="P137" s="22"/>
      <x:c r="Q137" s="22"/>
      <x:c r="R137" s="22"/>
      <x:c r="S137" s="22"/>
      <x:c r="T137" s="22"/>
      <x:c r="U137" s="22"/>
      <x:c r="V137" s="22"/>
      <x:c r="W137" s="22"/>
      <x:c r="X137" s="22"/>
      <x:c r="Y137" s="22"/>
      <x:c r="Z137" s="27" t="n">
        <x:v>1</x:v>
      </x:c>
      <x:c r="AA137" s="27" t="n">
        <x:v>1</x:v>
      </x:c>
      <x:c r="AB137" s="27" t="n">
        <x:v>1</x:v>
      </x:c>
      <x:c r="AC137" s="27" t="n">
        <x:v>1</x:v>
      </x:c>
      <x:c r="AD137" s="27" t="n">
        <x:v>1</x:v>
      </x:c>
      <x:c r="AE137" s="22"/>
      <x:c r="AF137" s="22"/>
    </x:row>
    <x:row r="138" ht="22" customHeight="1">
      <x:c r="A138" s="22"/>
      <x:c r="B138" s="23"/>
      <x:c r="C138" s="23"/>
      <x:c r="D138" s="24" t="str">
        <x:v>실적</x:v>
      </x:c>
      <x:c r="E138" s="22"/>
      <x:c r="F138" s="22"/>
      <x:c r="G138" s="22"/>
      <x:c r="H138" s="22"/>
      <x:c r="I138" s="22"/>
      <x:c r="J138" s="22"/>
      <x:c r="K138" s="22"/>
      <x:c r="L138" s="22"/>
      <x:c r="M138" s="22"/>
      <x:c r="N138" s="22"/>
      <x:c r="O138" s="44"/>
      <x:c r="P138" s="22"/>
      <x:c r="Q138" s="22"/>
      <x:c r="R138" s="22"/>
      <x:c r="S138" s="22"/>
      <x:c r="T138" s="22"/>
      <x:c r="U138" s="22"/>
      <x:c r="V138" s="22"/>
      <x:c r="W138" s="22"/>
      <x:c r="X138" s="22"/>
      <x:c r="Y138" s="22"/>
      <x:c r="Z138" s="22"/>
      <x:c r="AA138" s="22"/>
      <x:c r="AB138" s="22"/>
      <x:c r="AC138" s="22"/>
      <x:c r="AD138" s="22"/>
      <x:c r="AE138" s="22"/>
      <x:c r="AF138" s="22"/>
    </x:row>
    <x:row r="139" ht="22" customHeight="1">
      <x:c r="A139" s="22"/>
      <x:c r="B139" s="23" t="str">
        <x:v>11-08 Traceability 검증</x:v>
      </x:c>
      <x:c r="C139" s="23" t="str">
        <x:v>51개 요구→120개 내부항목→코드→WBS→시험결과의 누락·증빙을 감사한다.</x:v>
      </x:c>
      <x:c r="D139" s="24" t="str">
        <x:v>계획</x:v>
      </x:c>
      <x:c r="E139" s="22"/>
      <x:c r="F139" s="22"/>
      <x:c r="G139" s="22"/>
      <x:c r="H139" s="22"/>
      <x:c r="I139" s="22"/>
      <x:c r="J139" s="22"/>
      <x:c r="K139" s="22"/>
      <x:c r="L139" s="22"/>
      <x:c r="M139" s="22"/>
      <x:c r="N139" s="22"/>
      <x:c r="O139" s="44"/>
      <x:c r="P139" s="22"/>
      <x:c r="Q139" s="22"/>
      <x:c r="R139" s="22"/>
      <x:c r="S139" s="22"/>
      <x:c r="T139" s="22"/>
      <x:c r="U139" s="22"/>
      <x:c r="V139" s="22"/>
      <x:c r="W139" s="22"/>
      <x:c r="X139" s="22"/>
      <x:c r="Y139" s="27" t="n">
        <x:v>1</x:v>
      </x:c>
      <x:c r="Z139" s="27" t="n">
        <x:v>1</x:v>
      </x:c>
      <x:c r="AA139" s="27" t="n">
        <x:v>1</x:v>
      </x:c>
      <x:c r="AB139" s="27" t="n">
        <x:v>1</x:v>
      </x:c>
      <x:c r="AC139" s="27" t="n">
        <x:v>1</x:v>
      </x:c>
      <x:c r="AD139" s="27" t="n">
        <x:v>1</x:v>
      </x:c>
      <x:c r="AE139" s="22"/>
      <x:c r="AF139" s="22"/>
    </x:row>
    <x:row r="140" ht="22" customHeight="1">
      <x:c r="A140" s="35"/>
      <x:c r="B140" s="36"/>
      <x:c r="C140" s="36"/>
      <x:c r="D140" s="37" t="str">
        <x:v>실적</x:v>
      </x:c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  <x:c r="O140" s="46"/>
      <x:c r="P140" s="35"/>
      <x:c r="Q140" s="35"/>
      <x:c r="R140" s="35"/>
      <x:c r="S140" s="35"/>
      <x:c r="T140" s="35"/>
      <x:c r="U140" s="35"/>
      <x:c r="V140" s="35"/>
      <x:c r="W140" s="35"/>
      <x:c r="X140" s="35"/>
      <x:c r="Y140" s="35"/>
      <x:c r="Z140" s="35"/>
      <x:c r="AA140" s="35"/>
      <x:c r="AB140" s="35"/>
      <x:c r="AC140" s="35"/>
      <x:c r="AD140" s="35"/>
      <x:c r="AE140" s="35"/>
      <x:c r="AF140" s="35"/>
    </x:row>
    <x:row r="141" ht="22" customHeight="1">
      <x:c r="A141" s="41" t="str">
        <x:v>12
현장평가/고객승인/Release</x:v>
      </x:c>
      <x:c r="B141" s="32" t="str">
        <x:v>12-01 FAT 진입검토</x:v>
      </x:c>
      <x:c r="C141" s="32" t="str">
        <x:v>P1 Gap, Critical Alarm, 회귀·실물·Traceability 결과와 Known Issue를 검토한다.</x:v>
      </x:c>
      <x:c r="D141" s="33" t="str">
        <x:v>계획</x:v>
      </x:c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49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  <x:c r="AA141" s="34" t="n">
        <x:v>1</x:v>
      </x:c>
      <x:c r="AB141" s="34" t="n">
        <x:v>1</x:v>
      </x:c>
      <x:c r="AC141" s="34" t="n">
        <x:v>1</x:v>
      </x:c>
      <x:c r="AD141" s="31"/>
      <x:c r="AE141" s="31"/>
      <x:c r="AF141" s="31"/>
    </x:row>
    <x:row r="142" ht="22" customHeight="1">
      <x:c r="A142" s="22"/>
      <x:c r="B142" s="23"/>
      <x:c r="C142" s="23"/>
      <x:c r="D142" s="24" t="str">
        <x:v>실적</x:v>
      </x:c>
      <x:c r="E142" s="22"/>
      <x:c r="F142" s="22"/>
      <x:c r="G142" s="22"/>
      <x:c r="H142" s="22"/>
      <x:c r="I142" s="22"/>
      <x:c r="J142" s="22"/>
      <x:c r="K142" s="22"/>
      <x:c r="L142" s="22"/>
      <x:c r="M142" s="22"/>
      <x:c r="N142" s="22"/>
      <x:c r="O142" s="44"/>
      <x:c r="P142" s="22"/>
      <x:c r="Q142" s="22"/>
      <x:c r="R142" s="22"/>
      <x:c r="S142" s="22"/>
      <x:c r="T142" s="22"/>
      <x:c r="U142" s="22"/>
      <x:c r="V142" s="22"/>
      <x:c r="W142" s="22"/>
      <x:c r="X142" s="22"/>
      <x:c r="Y142" s="22"/>
      <x:c r="Z142" s="22"/>
      <x:c r="AA142" s="22"/>
      <x:c r="AB142" s="22"/>
      <x:c r="AC142" s="22"/>
      <x:c r="AD142" s="22"/>
      <x:c r="AE142" s="22"/>
      <x:c r="AF142" s="22"/>
    </x:row>
    <x:row r="143" ht="22" customHeight="1">
      <x:c r="A143" s="22"/>
      <x:c r="B143" s="23" t="str">
        <x:v>12-02 FAT·현장 Dry Run</x:v>
      </x:c>
      <x:c r="C143" s="23" t="str">
        <x:v>대표 Recipe, Auto/Manual/Recovery, Head/Power/Review, 데이터·로그를 고객 Witness로 검증한다.</x:v>
      </x:c>
      <x:c r="D143" s="24" t="str">
        <x:v>계획</x:v>
      </x:c>
      <x:c r="E143" s="22"/>
      <x:c r="F143" s="22"/>
      <x:c r="G143" s="22"/>
      <x:c r="H143" s="22"/>
      <x:c r="I143" s="22"/>
      <x:c r="J143" s="22"/>
      <x:c r="K143" s="22"/>
      <x:c r="L143" s="22"/>
      <x:c r="M143" s="22"/>
      <x:c r="N143" s="22"/>
      <x:c r="O143" s="44"/>
      <x:c r="P143" s="22"/>
      <x:c r="Q143" s="22"/>
      <x:c r="R143" s="22"/>
      <x:c r="S143" s="22"/>
      <x:c r="T143" s="22"/>
      <x:c r="U143" s="22"/>
      <x:c r="V143" s="22"/>
      <x:c r="W143" s="22"/>
      <x:c r="X143" s="22"/>
      <x:c r="Y143" s="22"/>
      <x:c r="Z143" s="22"/>
      <x:c r="AA143" s="22"/>
      <x:c r="AB143" s="27" t="n">
        <x:v>1</x:v>
      </x:c>
      <x:c r="AC143" s="27" t="n">
        <x:v>1</x:v>
      </x:c>
      <x:c r="AD143" s="27" t="n">
        <x:v>1</x:v>
      </x:c>
      <x:c r="AE143" s="22"/>
      <x:c r="AF143" s="22"/>
    </x:row>
    <x:row r="144" ht="22" customHeight="1">
      <x:c r="A144" s="22"/>
      <x:c r="B144" s="23"/>
      <x:c r="C144" s="23"/>
      <x:c r="D144" s="24" t="str">
        <x:v>실적</x:v>
      </x:c>
      <x:c r="E144" s="22"/>
      <x:c r="F144" s="22"/>
      <x:c r="G144" s="22"/>
      <x:c r="H144" s="22"/>
      <x:c r="I144" s="22"/>
      <x:c r="J144" s="22"/>
      <x:c r="K144" s="22"/>
      <x:c r="L144" s="22"/>
      <x:c r="M144" s="22"/>
      <x:c r="N144" s="22"/>
      <x:c r="O144" s="44"/>
      <x:c r="P144" s="22"/>
      <x:c r="Q144" s="22"/>
      <x:c r="R144" s="22"/>
      <x:c r="S144" s="22"/>
      <x:c r="T144" s="22"/>
      <x:c r="U144" s="22"/>
      <x:c r="V144" s="22"/>
      <x:c r="W144" s="22"/>
      <x:c r="X144" s="22"/>
      <x:c r="Y144" s="22"/>
      <x:c r="Z144" s="22"/>
      <x:c r="AA144" s="22"/>
      <x:c r="AB144" s="22"/>
      <x:c r="AC144" s="22"/>
      <x:c r="AD144" s="22"/>
      <x:c r="AE144" s="22"/>
      <x:c r="AF144" s="22"/>
    </x:row>
    <x:row r="145" ht="22" customHeight="1">
      <x:c r="A145" s="22"/>
      <x:c r="B145" s="23" t="str">
        <x:v>12-03 SAT·성능평가</x:v>
      </x:c>
      <x:c r="C145" s="23" t="str">
        <x:v>양산조건에서 Tact/정밀도/연속운전/Alarm 복구와 51개 수용기준을 승인받는다.</x:v>
      </x:c>
      <x:c r="D145" s="24" t="str">
        <x:v>계획</x:v>
      </x:c>
      <x:c r="E145" s="22"/>
      <x:c r="F145" s="22"/>
      <x:c r="G145" s="22"/>
      <x:c r="H145" s="22"/>
      <x:c r="I145" s="22"/>
      <x:c r="J145" s="22"/>
      <x:c r="K145" s="22"/>
      <x:c r="L145" s="22"/>
      <x:c r="M145" s="22"/>
      <x:c r="N145" s="22"/>
      <x:c r="O145" s="44"/>
      <x:c r="P145" s="22"/>
      <x:c r="Q145" s="22"/>
      <x:c r="R145" s="22"/>
      <x:c r="S145" s="22"/>
      <x:c r="T145" s="22"/>
      <x:c r="U145" s="22"/>
      <x:c r="V145" s="22"/>
      <x:c r="W145" s="22"/>
      <x:c r="X145" s="22"/>
      <x:c r="Y145" s="22"/>
      <x:c r="Z145" s="22"/>
      <x:c r="AA145" s="22"/>
      <x:c r="AB145" s="22"/>
      <x:c r="AC145" s="27" t="n">
        <x:v>1</x:v>
      </x:c>
      <x:c r="AD145" s="27" t="n">
        <x:v>1</x:v>
      </x:c>
      <x:c r="AE145" s="27" t="n">
        <x:v>1</x:v>
      </x:c>
      <x:c r="AF145" s="22"/>
    </x:row>
    <x:row r="146" ht="22" customHeight="1">
      <x:c r="A146" s="22"/>
      <x:c r="B146" s="23"/>
      <x:c r="C146" s="23"/>
      <x:c r="D146" s="24" t="str">
        <x:v>실적</x:v>
      </x:c>
      <x:c r="E146" s="22"/>
      <x:c r="F146" s="22"/>
      <x:c r="G146" s="22"/>
      <x:c r="H146" s="22"/>
      <x:c r="I146" s="22"/>
      <x:c r="J146" s="22"/>
      <x:c r="K146" s="22"/>
      <x:c r="L146" s="22"/>
      <x:c r="M146" s="22"/>
      <x:c r="N146" s="22"/>
      <x:c r="O146" s="44"/>
      <x:c r="P146" s="22"/>
      <x:c r="Q146" s="22"/>
      <x:c r="R146" s="22"/>
      <x:c r="S146" s="22"/>
      <x:c r="T146" s="22"/>
      <x:c r="U146" s="22"/>
      <x:c r="V146" s="22"/>
      <x:c r="W146" s="22"/>
      <x:c r="X146" s="22"/>
      <x:c r="Y146" s="22"/>
      <x:c r="Z146" s="22"/>
      <x:c r="AA146" s="22"/>
      <x:c r="AB146" s="22"/>
      <x:c r="AC146" s="22"/>
      <x:c r="AD146" s="22"/>
      <x:c r="AE146" s="22"/>
      <x:c r="AF146" s="22"/>
    </x:row>
    <x:row r="147" ht="22" customHeight="1">
      <x:c r="A147" s="22"/>
      <x:c r="B147" s="23" t="str">
        <x:v>12-04 Release Candidate·동결</x:v>
      </x:c>
      <x:c r="C147" s="23" t="str">
        <x:v>코드/설정/Recipe/Driver/DLL/문서 버전과 빌드·회귀 결과를 동결한다.</x:v>
      </x:c>
      <x:c r="D147" s="24" t="str">
        <x:v>계획</x:v>
      </x:c>
      <x:c r="E147" s="22"/>
      <x:c r="F147" s="22"/>
      <x:c r="G147" s="22"/>
      <x:c r="H147" s="22"/>
      <x:c r="I147" s="22"/>
      <x:c r="J147" s="22"/>
      <x:c r="K147" s="22"/>
      <x:c r="L147" s="22"/>
      <x:c r="M147" s="22"/>
      <x:c r="N147" s="22"/>
      <x:c r="O147" s="44"/>
      <x:c r="P147" s="22"/>
      <x:c r="Q147" s="22"/>
      <x:c r="R147" s="22"/>
      <x:c r="S147" s="22"/>
      <x:c r="T147" s="22"/>
      <x:c r="U147" s="22"/>
      <x:c r="V147" s="22"/>
      <x:c r="W147" s="22"/>
      <x:c r="X147" s="22"/>
      <x:c r="Y147" s="22"/>
      <x:c r="Z147" s="22"/>
      <x:c r="AA147" s="22"/>
      <x:c r="AB147" s="22"/>
      <x:c r="AC147" s="27" t="n">
        <x:v>1</x:v>
      </x:c>
      <x:c r="AD147" s="27" t="n">
        <x:v>1</x:v>
      </x:c>
      <x:c r="AE147" s="27" t="n">
        <x:v>1</x:v>
      </x:c>
      <x:c r="AF147" s="22"/>
    </x:row>
    <x:row r="148" ht="22" customHeight="1">
      <x:c r="A148" s="22"/>
      <x:c r="B148" s="23"/>
      <x:c r="C148" s="23"/>
      <x:c r="D148" s="24" t="str">
        <x:v>실적</x:v>
      </x:c>
      <x:c r="E148" s="22"/>
      <x:c r="F148" s="22"/>
      <x:c r="G148" s="22"/>
      <x:c r="H148" s="22"/>
      <x:c r="I148" s="22"/>
      <x:c r="J148" s="22"/>
      <x:c r="K148" s="22"/>
      <x:c r="L148" s="22"/>
      <x:c r="M148" s="22"/>
      <x:c r="N148" s="22"/>
      <x:c r="O148" s="44"/>
      <x:c r="P148" s="22"/>
      <x:c r="Q148" s="22"/>
      <x:c r="R148" s="22"/>
      <x:c r="S148" s="22"/>
      <x:c r="T148" s="22"/>
      <x:c r="U148" s="22"/>
      <x:c r="V148" s="22"/>
      <x:c r="W148" s="22"/>
      <x:c r="X148" s="22"/>
      <x:c r="Y148" s="22"/>
      <x:c r="Z148" s="22"/>
      <x:c r="AA148" s="22"/>
      <x:c r="AB148" s="22"/>
      <x:c r="AC148" s="22"/>
      <x:c r="AD148" s="22"/>
      <x:c r="AE148" s="22"/>
      <x:c r="AF148" s="22"/>
    </x:row>
    <x:row r="149" ht="22" customHeight="1">
      <x:c r="A149" s="22"/>
      <x:c r="B149" s="23" t="str">
        <x:v>12-05 문서·교육·인수인계</x:v>
      </x:c>
      <x:c r="C149" s="23" t="str">
        <x:v>운영/유지보수/복구/Calibration/Release Note/검증성적서와 교육을 완료한다.</x:v>
      </x:c>
      <x:c r="D149" s="24" t="str">
        <x:v>계획</x:v>
      </x:c>
      <x:c r="E149" s="22"/>
      <x:c r="F149" s="22"/>
      <x:c r="G149" s="22"/>
      <x:c r="H149" s="22"/>
      <x:c r="I149" s="22"/>
      <x:c r="J149" s="22"/>
      <x:c r="K149" s="22"/>
      <x:c r="L149" s="22"/>
      <x:c r="M149" s="22"/>
      <x:c r="N149" s="22"/>
      <x:c r="O149" s="44"/>
      <x:c r="P149" s="22"/>
      <x:c r="Q149" s="22"/>
      <x:c r="R149" s="22"/>
      <x:c r="S149" s="22"/>
      <x:c r="T149" s="22"/>
      <x:c r="U149" s="22"/>
      <x:c r="V149" s="22"/>
      <x:c r="W149" s="22"/>
      <x:c r="X149" s="22"/>
      <x:c r="Y149" s="22"/>
      <x:c r="Z149" s="22"/>
      <x:c r="AA149" s="22"/>
      <x:c r="AB149" s="22"/>
      <x:c r="AC149" s="22"/>
      <x:c r="AD149" s="27" t="n">
        <x:v>1</x:v>
      </x:c>
      <x:c r="AE149" s="27" t="n">
        <x:v>1</x:v>
      </x:c>
      <x:c r="AF149" s="27" t="n">
        <x:v>1</x:v>
      </x:c>
    </x:row>
    <x:row r="150" ht="22" customHeight="1">
      <x:c r="A150" s="22"/>
      <x:c r="B150" s="23"/>
      <x:c r="C150" s="23"/>
      <x:c r="D150" s="24" t="str">
        <x:v>실적</x:v>
      </x:c>
      <x:c r="E150" s="22"/>
      <x:c r="F150" s="22"/>
      <x:c r="G150" s="22"/>
      <x:c r="H150" s="22"/>
      <x:c r="I150" s="22"/>
      <x:c r="J150" s="22"/>
      <x:c r="K150" s="22"/>
      <x:c r="L150" s="22"/>
      <x:c r="M150" s="22"/>
      <x:c r="N150" s="22"/>
      <x:c r="O150" s="44"/>
      <x:c r="P150" s="22"/>
      <x:c r="Q150" s="22"/>
      <x:c r="R150" s="22"/>
      <x:c r="S150" s="22"/>
      <x:c r="T150" s="22"/>
      <x:c r="U150" s="22"/>
      <x:c r="V150" s="22"/>
      <x:c r="W150" s="22"/>
      <x:c r="X150" s="22"/>
      <x:c r="Y150" s="22"/>
      <x:c r="Z150" s="22"/>
      <x:c r="AA150" s="22"/>
      <x:c r="AB150" s="22"/>
      <x:c r="AC150" s="22"/>
      <x:c r="AD150" s="22"/>
      <x:c r="AE150" s="22"/>
      <x:c r="AF150" s="22"/>
    </x:row>
    <x:row r="151" ht="22" customHeight="1">
      <x:c r="A151" s="22"/>
      <x:c r="B151" s="23" t="str">
        <x:v>12-06 고객 승인·정식 Release</x:v>
      </x:c>
      <x:c r="C151" s="23" t="str">
        <x:v>Open issue disposition, 고객 Sign-off, 배포본 checksum·Rollback·지원체계를 인수한다.</x:v>
      </x:c>
      <x:c r="D151" s="24" t="str">
        <x:v>계획</x:v>
      </x:c>
      <x:c r="E151" s="22"/>
      <x:c r="F151" s="22"/>
      <x:c r="G151" s="22"/>
      <x:c r="H151" s="22"/>
      <x:c r="I151" s="22"/>
      <x:c r="J151" s="22"/>
      <x:c r="K151" s="22"/>
      <x:c r="L151" s="22"/>
      <x:c r="M151" s="22"/>
      <x:c r="N151" s="22"/>
      <x:c r="O151" s="44"/>
      <x:c r="P151" s="22"/>
      <x:c r="Q151" s="22"/>
      <x:c r="R151" s="22"/>
      <x:c r="S151" s="22"/>
      <x:c r="T151" s="22"/>
      <x:c r="U151" s="22"/>
      <x:c r="V151" s="22"/>
      <x:c r="W151" s="22"/>
      <x:c r="X151" s="22"/>
      <x:c r="Y151" s="22"/>
      <x:c r="Z151" s="22"/>
      <x:c r="AA151" s="22"/>
      <x:c r="AB151" s="22"/>
      <x:c r="AC151" s="22"/>
      <x:c r="AD151" s="22"/>
      <x:c r="AE151" s="27" t="n">
        <x:v>1</x:v>
      </x:c>
      <x:c r="AF151" s="27" t="n">
        <x:v>1</x:v>
      </x:c>
    </x:row>
    <x:row r="152" ht="22" customHeight="1">
      <x:c r="A152" s="35"/>
      <x:c r="B152" s="36"/>
      <x:c r="C152" s="36"/>
      <x:c r="D152" s="37" t="str">
        <x:v>실적</x:v>
      </x:c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  <x:c r="O152" s="50"/>
      <x:c r="P152" s="35"/>
      <x:c r="Q152" s="35"/>
      <x:c r="R152" s="35"/>
      <x:c r="S152" s="35"/>
      <x:c r="T152" s="35"/>
      <x:c r="U152" s="35"/>
      <x:c r="V152" s="35"/>
      <x:c r="W152" s="35"/>
      <x:c r="X152" s="35"/>
      <x:c r="Y152" s="35"/>
      <x:c r="Z152" s="35"/>
      <x:c r="AA152" s="35"/>
      <x:c r="AB152" s="35"/>
      <x:c r="AC152" s="35"/>
      <x:c r="AD152" s="35"/>
      <x:c r="AE152" s="35"/>
      <x:c r="AF152" s="35"/>
    </x:row>
  </x:sheetData>
  <x:mergeCells>
    <x:mergeCell ref="A1:AF1"/>
    <x:mergeCell ref="A2:A3"/>
    <x:mergeCell ref="B2:B3"/>
    <x:mergeCell ref="C2:C3"/>
    <x:mergeCell ref="D2:D3"/>
    <x:mergeCell ref="E2:H2"/>
    <x:mergeCell ref="I2:L2"/>
    <x:mergeCell ref="M2:P2"/>
    <x:mergeCell ref="Q2:T2"/>
    <x:mergeCell ref="U2:X2"/>
    <x:mergeCell ref="Y2:AB2"/>
    <x:mergeCell ref="AC2:AF2"/>
    <x:mergeCell ref="B5:B6"/>
    <x:mergeCell ref="C5:C6"/>
    <x:mergeCell ref="B7:B8"/>
    <x:mergeCell ref="C7:C8"/>
    <x:mergeCell ref="B9:B10"/>
    <x:mergeCell ref="C9:C10"/>
    <x:mergeCell ref="B11:B12"/>
    <x:mergeCell ref="C11:C12"/>
    <x:mergeCell ref="B13:B14"/>
    <x:mergeCell ref="C13:C14"/>
    <x:mergeCell ref="B15:B16"/>
    <x:mergeCell ref="C15:C16"/>
    <x:mergeCell ref="B17:B18"/>
    <x:mergeCell ref="C17:C18"/>
    <x:mergeCell ref="B19:B20"/>
    <x:mergeCell ref="C19:C20"/>
    <x:mergeCell ref="B21:B22"/>
    <x:mergeCell ref="C21:C22"/>
    <x:mergeCell ref="B23:B24"/>
    <x:mergeCell ref="C23:C24"/>
    <x:mergeCell ref="B25:B26"/>
    <x:mergeCell ref="C25:C26"/>
    <x:mergeCell ref="B27:B28"/>
    <x:mergeCell ref="C27:C28"/>
    <x:mergeCell ref="B29:B30"/>
    <x:mergeCell ref="C29:C30"/>
    <x:mergeCell ref="B31:B32"/>
    <x:mergeCell ref="C31:C32"/>
    <x:mergeCell ref="B33:B34"/>
    <x:mergeCell ref="C33:C34"/>
    <x:mergeCell ref="B35:B36"/>
    <x:mergeCell ref="C35:C36"/>
    <x:mergeCell ref="B37:B38"/>
    <x:mergeCell ref="C37:C38"/>
    <x:mergeCell ref="B39:B40"/>
    <x:mergeCell ref="C39:C40"/>
    <x:mergeCell ref="B41:B42"/>
    <x:mergeCell ref="C41:C42"/>
    <x:mergeCell ref="B43:B44"/>
    <x:mergeCell ref="C43:C44"/>
    <x:mergeCell ref="B45:B46"/>
    <x:mergeCell ref="C45:C46"/>
    <x:mergeCell ref="B47:B48"/>
    <x:mergeCell ref="C47:C48"/>
    <x:mergeCell ref="B49:B50"/>
    <x:mergeCell ref="C49:C50"/>
    <x:mergeCell ref="B51:B52"/>
    <x:mergeCell ref="C51:C52"/>
    <x:mergeCell ref="B53:B54"/>
    <x:mergeCell ref="C53:C54"/>
    <x:mergeCell ref="B55:B56"/>
    <x:mergeCell ref="C55:C56"/>
    <x:mergeCell ref="B57:B58"/>
    <x:mergeCell ref="C57:C58"/>
    <x:mergeCell ref="B59:B60"/>
    <x:mergeCell ref="C59:C60"/>
    <x:mergeCell ref="B61:B62"/>
    <x:mergeCell ref="C61:C62"/>
    <x:mergeCell ref="B63:B64"/>
    <x:mergeCell ref="C63:C64"/>
    <x:mergeCell ref="B65:B66"/>
    <x:mergeCell ref="C65:C66"/>
    <x:mergeCell ref="B67:B68"/>
    <x:mergeCell ref="C67:C68"/>
    <x:mergeCell ref="B69:B70"/>
    <x:mergeCell ref="C69:C70"/>
    <x:mergeCell ref="B71:B72"/>
    <x:mergeCell ref="C71:C72"/>
    <x:mergeCell ref="B73:B74"/>
    <x:mergeCell ref="C73:C74"/>
    <x:mergeCell ref="B75:B76"/>
    <x:mergeCell ref="C75:C76"/>
    <x:mergeCell ref="B77:B78"/>
    <x:mergeCell ref="C77:C78"/>
    <x:mergeCell ref="B79:B80"/>
    <x:mergeCell ref="C79:C80"/>
    <x:mergeCell ref="B81:B82"/>
    <x:mergeCell ref="C81:C82"/>
    <x:mergeCell ref="B83:B84"/>
    <x:mergeCell ref="C83:C84"/>
    <x:mergeCell ref="B85:B86"/>
    <x:mergeCell ref="C85:C86"/>
    <x:mergeCell ref="B87:B88"/>
    <x:mergeCell ref="C87:C88"/>
    <x:mergeCell ref="B89:B90"/>
    <x:mergeCell ref="C89:C90"/>
    <x:mergeCell ref="B91:B92"/>
    <x:mergeCell ref="C91:C92"/>
    <x:mergeCell ref="B93:B94"/>
    <x:mergeCell ref="C93:C94"/>
    <x:mergeCell ref="B95:B96"/>
    <x:mergeCell ref="C95:C96"/>
    <x:mergeCell ref="B97:B98"/>
    <x:mergeCell ref="C97:C98"/>
    <x:mergeCell ref="B99:B100"/>
    <x:mergeCell ref="C99:C100"/>
    <x:mergeCell ref="B101:B102"/>
    <x:mergeCell ref="C101:C102"/>
    <x:mergeCell ref="B103:B104"/>
    <x:mergeCell ref="C103:C104"/>
    <x:mergeCell ref="B105:B106"/>
    <x:mergeCell ref="C105:C106"/>
    <x:mergeCell ref="B107:B108"/>
    <x:mergeCell ref="C107:C108"/>
    <x:mergeCell ref="B109:B110"/>
    <x:mergeCell ref="C109:C110"/>
    <x:mergeCell ref="B111:B112"/>
    <x:mergeCell ref="C111:C112"/>
    <x:mergeCell ref="B113:B114"/>
    <x:mergeCell ref="C113:C114"/>
    <x:mergeCell ref="B115:B116"/>
    <x:mergeCell ref="C115:C116"/>
    <x:mergeCell ref="B117:B118"/>
    <x:mergeCell ref="C117:C118"/>
    <x:mergeCell ref="B119:B120"/>
    <x:mergeCell ref="C119:C120"/>
    <x:mergeCell ref="B121:B122"/>
    <x:mergeCell ref="C121:C122"/>
    <x:mergeCell ref="B123:B124"/>
    <x:mergeCell ref="C123:C124"/>
    <x:mergeCell ref="B125:B126"/>
    <x:mergeCell ref="C125:C126"/>
    <x:mergeCell ref="B127:B128"/>
    <x:mergeCell ref="C127:C128"/>
    <x:mergeCell ref="B129:B130"/>
    <x:mergeCell ref="C129:C130"/>
    <x:mergeCell ref="B131:B132"/>
    <x:mergeCell ref="C131:C132"/>
    <x:mergeCell ref="B133:B134"/>
    <x:mergeCell ref="C133:C134"/>
    <x:mergeCell ref="B135:B136"/>
    <x:mergeCell ref="C135:C136"/>
    <x:mergeCell ref="B137:B138"/>
    <x:mergeCell ref="C137:C138"/>
    <x:mergeCell ref="B139:B140"/>
    <x:mergeCell ref="C139:C140"/>
    <x:mergeCell ref="B141:B142"/>
    <x:mergeCell ref="C141:C142"/>
    <x:mergeCell ref="B143:B144"/>
    <x:mergeCell ref="C143:C144"/>
    <x:mergeCell ref="B145:B146"/>
    <x:mergeCell ref="C145:C146"/>
    <x:mergeCell ref="B147:B148"/>
    <x:mergeCell ref="C147:C148"/>
    <x:mergeCell ref="B149:B150"/>
    <x:mergeCell ref="C149:C150"/>
    <x:mergeCell ref="B151:B152"/>
    <x:mergeCell ref="C151:C152"/>
    <x:mergeCell ref="A5:A16"/>
    <x:mergeCell ref="A17:A28"/>
    <x:mergeCell ref="A29:A42"/>
    <x:mergeCell ref="A43:A54"/>
    <x:mergeCell ref="A55:A64"/>
    <x:mergeCell ref="A65:A74"/>
    <x:mergeCell ref="A75:A90"/>
    <x:mergeCell ref="A91:A106"/>
    <x:mergeCell ref="A107:A116"/>
    <x:mergeCell ref="A117:A124"/>
    <x:mergeCell ref="A125:A140"/>
    <x:mergeCell ref="A141:A152"/>
  </x:mergeCells>
  <x:printOptions horizontalCentered="0" verticalCentered="0" gridLines="0"/>
  <x:pageMargins left="0.2" right="0.2" top="0.35" bottom="0.35" header="0.15" footer="0.15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  <x:selection pane="bottomRight" activeCell="D6" sqref="D6"/>
    </x:sheetView>
  </x:sheetViews>
  <x:sheetFormatPr defaultRowHeight="15"/>
  <x:cols>
    <x:col min="1" max="1" width="5" hidden="0" customWidth="1"/>
    <x:col min="2" max="2" width="12" hidden="0" customWidth="1"/>
    <x:col min="3" max="3" width="10" hidden="0" customWidth="1"/>
    <x:col min="4" max="4" width="24" hidden="0" customWidth="1"/>
    <x:col min="5" max="5" width="42" hidden="0" customWidth="1"/>
    <x:col min="6" max="6" width="28" hidden="0" customWidth="1"/>
    <x:col min="7" max="7" width="28" hidden="0" customWidth="1"/>
    <x:col min="8" max="8" width="28" hidden="0" customWidth="1"/>
    <x:col min="9" max="9" width="50" hidden="0" customWidth="1"/>
    <x:col min="10" max="10" width="30" hidden="0" customWidth="1"/>
    <x:col min="11" max="11" width="42" hidden="0" customWidth="1"/>
    <x:col min="12" max="12" width="20" hidden="0" customWidth="1"/>
    <x:col min="13" max="13" width="24" hidden="0" customWidth="1"/>
    <x:col min="14" max="14" width="12" hidden="0" customWidth="1"/>
    <x:col min="15" max="15" width="16" hidden="0" customWidth="1"/>
    <x:col min="16" max="16" width="42" hidden="0" customWidth="1"/>
    <x:col min="17" max="17" width="18" hidden="0" customWidth="1"/>
    <x:col min="18" max="18" width="16" hidden="0" customWidth="1"/>
    <x:col min="19" max="19" width="32" hidden="0" customWidth="1"/>
    <x:col min="20" max="20" width="12" hidden="0" customWidth="1"/>
    <x:col min="21" max="21" width="12" hidden="0" customWidth="1"/>
  </x:cols>
  <x:sheetData>
    <x:row r="1" ht="30" customHeight="1">
      <x:c r="A1" s="62" t="str">
        <x:v>01 고객 요구사항 51개 Traceability</x:v>
      </x:c>
      <x:c r="B1" s="63"/>
      <x:c r="C1" s="63"/>
      <x:c r="D1" s="63"/>
      <x:c r="E1" s="63"/>
      <x:c r="F1" s="63"/>
      <x:c r="G1" s="63"/>
      <x:c r="H1" s="63"/>
      <x:c r="I1" s="63"/>
      <x:c r="J1" s="63"/>
      <x:c r="K1" s="63"/>
      <x:c r="L1" s="63"/>
      <x:c r="M1" s="63"/>
      <x:c r="N1" s="63"/>
      <x:c r="O1" s="63"/>
      <x:c r="P1" s="63"/>
      <x:c r="Q1" s="63"/>
      <x:c r="R1" s="63"/>
      <x:c r="S1" s="63"/>
      <x:c r="T1" s="63"/>
      <x:c r="U1" s="64"/>
    </x:row>
    <x:row r="2" ht="26" customHeight="1">
      <x:c r="A2" s="67" t="str">
        <x:v>원본: 1-A3-LD-가공프로그램-고객사-확인-요청항목_new_V2.xlsx | 기준: 고객 51개 원문과 두 개의 검토결과 열을 분리 보존</x:v>
      </x:c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</x:row>
    <x:row r="3">
      <x:c r="A3" s="71" t="str">
        <x:v>전체</x:v>
      </x:c>
      <x:c r="B3" s="71" t="str"/>
      <x:c r="C3" s="71" t="str">
        <x:v>완전 반영</x:v>
      </x:c>
      <x:c r="D3" s="71" t="str"/>
      <x:c r="E3" s="71" t="str">
        <x:v>부분 반영</x:v>
      </x:c>
      <x:c r="F3" s="71" t="str"/>
      <x:c r="G3" s="71" t="str">
        <x:v>유사하나 불충분</x:v>
      </x:c>
      <x:c r="H3" s="71" t="str"/>
      <x:c r="I3" s="71" t="str">
        <x:v>미반영</x:v>
      </x:c>
      <x:c r="J3" s="71" t="str"/>
      <x:c r="K3" s="71" t="str">
        <x:v>확인 불가</x:v>
      </x:c>
      <x:c r="L3" s="71" t="str"/>
      <x:c r="M3" s="71" t="str">
        <x:v>Gap WBS</x:v>
      </x:c>
      <x:c r="N3" s="71" t="str"/>
      <x:c r="O3" s="71"/>
    </x:row>
    <x:row r="4">
      <x:c r="A4" s="74" t="n">
        <x:f>COUNTA(C6:C56)</x:f>
        <x:v>51</x:v>
      </x:c>
      <x:c r="B4" s="74" t="str"/>
      <x:c r="C4" s="74" t="n">
        <x:f>COUNTIF(O6:O56,"완전 반영")</x:f>
        <x:v>0</x:v>
      </x:c>
      <x:c r="D4" s="74" t="str"/>
      <x:c r="E4" s="74" t="n">
        <x:f>COUNTIF(O6:O56,"부분 반영")</x:f>
        <x:v>41</x:v>
      </x:c>
      <x:c r="F4" s="74" t="str"/>
      <x:c r="G4" s="74" t="n">
        <x:f>COUNTIF(O6:O56,"유사하나 불충분")</x:f>
        <x:v>5</x:v>
      </x:c>
      <x:c r="H4" s="74" t="str"/>
      <x:c r="I4" s="74" t="n">
        <x:f>COUNTIF(O6:O56,"미반영")</x:f>
        <x:v>5</x:v>
      </x:c>
      <x:c r="J4" s="74" t="str"/>
      <x:c r="K4" s="74" t="n">
        <x:f>COUNTIF(O6:O56,"확인 불가")</x:f>
        <x:v>0</x:v>
      </x:c>
      <x:c r="L4" s="74" t="str"/>
      <x:c r="M4" s="74" t="n">
        <x:f>COUNTIF('05_마일스톤_리스크'!P6:P79,"Gap 보완")</x:f>
        <x:v>51</x:v>
      </x:c>
      <x:c r="N4" s="74" t="str"/>
      <x:c r="O4" s="74" t="str"/>
    </x:row>
    <x:row r="5" ht="30" customHeight="1">
      <x:c r="A5" s="16" t="str">
        <x:v>No</x:v>
      </x:c>
      <x:c r="B5" s="16" t="str">
        <x:v>요구영역</x:v>
      </x:c>
      <x:c r="C5" s="16" t="str">
        <x:v>기능ID</x:v>
      </x:c>
      <x:c r="D5" s="16" t="str">
        <x:v>기능명</x:v>
      </x:c>
      <x:c r="E5" s="16" t="str">
        <x:v>원문 상세설명</x:v>
      </x:c>
      <x:c r="F5" s="16" t="str">
        <x:v>원문 문의</x:v>
      </x:c>
      <x:c r="G5" s="16" t="str">
        <x:v>추가 검토결과 1</x:v>
      </x:c>
      <x:c r="H5" s="16" t="str">
        <x:v>추가 검토결과 2</x:v>
      </x:c>
      <x:c r="I5" s="16" t="str">
        <x:v>실행가능 재정의</x:v>
      </x:c>
      <x:c r="J5" s="16" t="str">
        <x:v>필요 SW 구성요소</x:v>
      </x:c>
      <x:c r="K5" s="16" t="str">
        <x:v>수용기준</x:v>
      </x:c>
      <x:c r="L5" s="16" t="str">
        <x:v>관련 내부개발 번호</x:v>
      </x:c>
      <x:c r="M5" s="16" t="str">
        <x:v>관련 코드근거 ID</x:v>
      </x:c>
      <x:c r="N5" s="16" t="str">
        <x:v>코드검증률</x:v>
      </x:c>
      <x:c r="O5" s="16" t="str">
        <x:v>현재 반영상태</x:v>
      </x:c>
      <x:c r="P5" s="16" t="str">
        <x:v>Gap</x:v>
      </x:c>
      <x:c r="Q5" s="16" t="str">
        <x:v>추가 WBS</x:v>
      </x:c>
      <x:c r="R5" s="16" t="str">
        <x:v>목표 완료시점</x:v>
      </x:c>
      <x:c r="S5" s="16" t="str">
        <x:v>검증방법</x:v>
      </x:c>
      <x:c r="T5" s="16" t="str">
        <x:v>기능ID 중복</x:v>
      </x:c>
      <x:c r="U5" s="16" t="str">
        <x:v>WBS 연결</x:v>
      </x:c>
    </x:row>
    <x:row r="6" ht="42" customHeight="1">
      <x:c r="A6" s="83" t="n">
        <x:v>1</x:v>
      </x:c>
      <x:c r="B6" s="83" t="str">
        <x:v>3.1 자동화 및 모니터링 
(Auto &amp; Monitoring)</x:v>
      </x:c>
      <x:c r="C6" s="83" t="str">
        <x:v>AM-001</x:v>
      </x:c>
      <x:c r="D6" s="83" t="str">
        <x:v>Glass 정보 모니터링</x:v>
      </x:c>
      <x:c r="E6" s="83" t="str">
        <x:v>· Glass 투입/투출/체류 시간, Glass ID, PPID, EQ Recipe 정보 실시간 표시</x:v>
      </x:c>
      <x:c r="F6" s="83" t="str"/>
      <x:c r="G6" s="83" t="str">
        <x:v>Melsec으로 받는 데이터</x:v>
      </x:c>
      <x:c r="H6" s="83" t="str">
        <x:v>SDC 의견수렴
PLC메모리영역 접근하여 데이터 저장 및 화면표시</x:v>
      </x:c>
      <x:c r="I6" s="83" t="str">
        <x:v>[AM-001] Glass 정보 모니터링: · Glass 투입/투출/체류 시간, Glass ID, PPID, EQ Recipe 정보 실시간 표시 / 입력·상태·오류·복구·저장·검증 조건을 명시하여 Glass 정보 모니터링의 정상·경계·오류·복구 경로가 Sequence/Driver에 연결되고, 설정 재로딩·로그·시험증빙으로 원문 상세 요구를 충족한다.</x:v>
      </x:c>
      <x:c r="J6" s="83" t="str">
        <x:v>WPF Main/Monitor, CStationProcess, Interface/Device Manager, Log/Alarm</x:v>
      </x:c>
      <x:c r="K6" s="83" t="str">
        <x:v>Glass 정보 모니터링의 정상·경계·오류·복구 경로가 Sequence/Driver에 연결되고, 설정 재로딩·로그·시험증빙으로 원문 상세 요구를 충족한다.</x:v>
      </x:c>
      <x:c r="L6" s="83" t="str">
        <x:v>24, 45, 106</x:v>
      </x:c>
      <x:c r="M6" s="83" t="str">
        <x:v>E-PLC, E-PRODUCT-FILE</x:v>
      </x:c>
      <x:c r="N6" s="84" t="n">
        <x:v>0.78</x:v>
      </x:c>
      <x:c r="O6" s="83" t="str">
        <x:v>부분 반영</x:v>
      </x:c>
      <x:c r="P6" s="83" t="str">
        <x:v>일부 구현은 확인되나 실장비 연동, Timeout/Alarm/Recovery, 저장·복원 또는 고객 수용시험 증빙이 부족</x:v>
      </x:c>
      <x:c r="Q6" s="83" t="str">
        <x:v>03-01, 02-01</x:v>
      </x:c>
      <x:c r="R6" s="83" t="str">
        <x:v>26' 9월 2주</x:v>
      </x:c>
      <x:c r="S6" s="83" t="str">
        <x:v>코드 회귀→통신/Sequence 오류주입→실장비 수용시험</x:v>
      </x:c>
      <x:c r="T6" s="83" t="str">
        <x:f>IF(COUNTIF($C$6:$C$56,C6)=1,"정상","중복")</x:f>
        <x:v>정상</x:v>
      </x:c>
      <x:c r="U6" s="83" t="str">
        <x:f>IF(Q6&lt;&gt;"","연결","누락")</x:f>
        <x:v>연결</x:v>
      </x:c>
    </x:row>
    <x:row r="7" ht="42" customHeight="1">
      <x:c r="A7" s="83" t="n">
        <x:v>2</x:v>
      </x:c>
      <x:c r="B7" s="83" t="str">
        <x:v>3.1 자동화 및 모니터링 
(Auto &amp; Monitoring)</x:v>
      </x:c>
      <x:c r="C7" s="83" t="str">
        <x:v>AM-002</x:v>
      </x:c>
      <x:c r="D7" s="83" t="str">
        <x:v>알람 상태 모니터링</x:v>
      </x:c>
      <x:c r="E7" s="83" t="str">
        <x:v>· 전체 알람 발생 상태 모니터링</x:v>
      </x:c>
      <x:c r="F7" s="83" t="str"/>
      <x:c r="G7" s="83" t="str"/>
      <x:c r="H7" s="83" t="str">
        <x:v>현재 Process SW 내에 발생하는 알람들에 대해 표시</x:v>
      </x:c>
      <x:c r="I7" s="83" t="str">
        <x:v>[AM-002] 알람 상태 모니터링: · 전체 알람 발생 상태 모니터링 / 입력·상태·오류·복구·저장·검증 조건을 명시하여 알람 상태 모니터링의 정상·경계·오류·복구 경로가 Sequence/Driver에 연결되고, 설정 재로딩·로그·시험증빙으로 원문 상세 요구를 충족한다.</x:v>
      </x:c>
      <x:c r="J7" s="83" t="str">
        <x:v>WPF Main/Monitor, CStationProcess, Interface/Device Manager, Log/Alarm</x:v>
      </x:c>
      <x:c r="K7" s="83" t="str">
        <x:v>알람 상태 모니터링의 정상·경계·오류·복구 경로가 Sequence/Driver에 연결되고, 설정 재로딩·로그·시험증빙으로 원문 상세 요구를 충족한다.</x:v>
      </x:c>
      <x:c r="L7" s="83" t="str">
        <x:v>12, 13, 66, 67, 68</x:v>
      </x:c>
      <x:c r="M7" s="83" t="str">
        <x:v>E-UI-ALARM, E-ALARM</x:v>
      </x:c>
      <x:c r="N7" s="84" t="n">
        <x:v>0.7</x:v>
      </x:c>
      <x:c r="O7" s="83" t="str">
        <x:v>부분 반영</x:v>
      </x:c>
      <x:c r="P7" s="83" t="str">
        <x:v>일부 구현은 확인되나 실장비 연동, Timeout/Alarm/Recovery, 저장·복원 또는 고객 수용시험 증빙이 부족</x:v>
      </x:c>
      <x:c r="Q7" s="83" t="str">
        <x:v>02-05, 10-01</x:v>
      </x:c>
      <x:c r="R7" s="83" t="str">
        <x:v>26' 10월 3주</x:v>
      </x:c>
      <x:c r="S7" s="83" t="str">
        <x:v>코드 회귀→통신/Sequence 오류주입→실장비 수용시험</x:v>
      </x:c>
      <x:c r="T7" s="83" t="str">
        <x:f>IF(COUNTIF($C$6:$C$56,C7)=1,"정상","중복")</x:f>
        <x:v>정상</x:v>
      </x:c>
      <x:c r="U7" s="83" t="str">
        <x:f>IF(Q7&lt;&gt;"","연결","누락")</x:f>
        <x:v>연결</x:v>
      </x:c>
    </x:row>
    <x:row r="8" ht="42" customHeight="1">
      <x:c r="A8" s="83" t="n">
        <x:v>3</x:v>
      </x:c>
      <x:c r="B8" s="83" t="str">
        <x:v>3.1 자동화 및 모니터링 
(Auto &amp; Monitoring)</x:v>
      </x:c>
      <x:c r="C8" s="83" t="str">
        <x:v>AM-003</x:v>
      </x:c>
      <x:c r="D8" s="83" t="str">
        <x:v>CIM 연결 상태 모니터링</x:v>
      </x:c>
      <x:c r="E8" s="83" t="str">
        <x:v>· CIM 연결 상태</x:v>
      </x:c>
      <x:c r="F8" s="83" t="str"/>
      <x:c r="G8" s="83" t="str"/>
      <x:c r="H8" s="83" t="str">
        <x:v>SDC 의견수렴</x:v>
      </x:c>
      <x:c r="I8" s="83" t="str">
        <x:v>[AM-003] CIM 연결 상태 모니터링: · CIM 연결 상태 / 입력·상태·오류·복구·저장·검증 조건을 명시하여 CIM 연결/해제/재연결 상태가 1초 이내 UI에 반영되고, 끊김·Timeout·재전송 로그와 Alarm이 남는다.</x:v>
      </x:c>
      <x:c r="J8" s="83" t="str">
        <x:v>WPF Main/Monitor, CStationProcess, Interface/Device Manager, Log/Alarm</x:v>
      </x:c>
      <x:c r="K8" s="83" t="str">
        <x:v>CIM 연결/해제/재연결 상태가 1초 이내 UI에 반영되고, 끊김·Timeout·재전송 로그와 Alarm이 남는다.</x:v>
      </x:c>
      <x:c r="L8" s="83" t="str">
        <x:v>108, 109, 110, 111</x:v>
      </x:c>
      <x:c r="M8" s="83" t="str">
        <x:v>E-NO-CIM</x:v>
      </x:c>
      <x:c r="N8" s="84" t="n">
        <x:v>0.05</x:v>
      </x:c>
      <x:c r="O8" s="83" t="str">
        <x:v>미반영</x:v>
      </x:c>
      <x:c r="P8" s="83" t="str">
        <x:v>전용 Driver/Sequence/UI/데이터 모델의 직접 구현 근거가 없어 신규 구현과 단위·통합·실장비 시험이 필요</x:v>
      </x:c>
      <x:c r="Q8" s="83" t="str">
        <x:v>03-02</x:v>
      </x:c>
      <x:c r="R8" s="83" t="str">
        <x:v>26' 10월 4주</x:v>
      </x:c>
      <x:c r="S8" s="83" t="str">
        <x:v>신규 단위시험→통합시험→실장비 Witness</x:v>
      </x:c>
      <x:c r="T8" s="83" t="str">
        <x:f>IF(COUNTIF($C$6:$C$56,C8)=1,"정상","중복")</x:f>
        <x:v>정상</x:v>
      </x:c>
      <x:c r="U8" s="83" t="str">
        <x:f>IF(Q8&lt;&gt;"","연결","누락")</x:f>
        <x:v>연결</x:v>
      </x:c>
    </x:row>
    <x:row r="9" ht="42" customHeight="1">
      <x:c r="A9" s="83" t="n">
        <x:v>4</x:v>
      </x:c>
      <x:c r="B9" s="83" t="str">
        <x:v>3.1 자동화 및 모니터링 
(Auto &amp; Monitoring)</x:v>
      </x:c>
      <x:c r="C9" s="83" t="str">
        <x:v>AM-004</x:v>
      </x:c>
      <x:c r="D9" s="83" t="str">
        <x:v>광학계 상태 모니터링</x:v>
      </x:c>
      <x:c r="E9" s="83" t="str">
        <x:v>· Laser 출력 상태, 최근 파워미터 측정값, Attenuator 사용량 등 모니터링</x:v>
      </x:c>
      <x:c r="F9" s="83" t="str">
        <x:v>레이저 출력 상태의미 : 단순 On/Off?
ATT 사용량은 어떤 정보를 의미하는지?</x:v>
      </x:c>
      <x:c r="G9" s="83" t="str">
        <x:v>각도(0~360도) 및 굴절률에 따라 파워가 다르며 사인 파형을 그림. 파형이 증가하는 부분만 사용. 헤드별 각도는 필옵틱스에서 세팅하며 현재 사용 가능 범위를 파악할 수 있음. 
오염 발생 시 파워를 점진적으로 올려야 하므로, 이 사용량이 보호윈도우 교체 판단의 근거가 됨.</x:v>
      </x:c>
      <x:c r="H9" s="83" t="str">
        <x:v>+ 각 ATT별 시작 포인트 상이함 &gt; 가공 프로그램에서 관리 필요
+ 8개 헤드의 제어 각도 및 1기판 종료 후 각도 보정량이 헤드별로 다름
+ 사용량은 %와 각도를 GUI에 함께 표시하며, 상한/하한선을 표시함
+ EC를 통해 MIN, MAX 관리</x:v>
      </x:c>
      <x:c r="I9" s="83" t="str">
        <x:v>[AM-004] 광학계 상태 모니터링: · Laser 출력 상태, 최근 파워미터 측정값, Attenuator 사용량 등 모니터링 / 입력·상태·오류·복구·저장·검증 조건을 명시하여 광학계 상태 모니터링의 정상·경계·오류·복구 경로가 Sequence/Driver에 연결되고, 설정 재로딩·로그·시험증빙으로 원문 상세 요구를 충족한다.</x:v>
      </x:c>
      <x:c r="J9" s="83" t="str">
        <x:v>WPF Main/Monitor, CStationProcess, Interface/Device Manager, Log/Alarm</x:v>
      </x:c>
      <x:c r="K9" s="83" t="str">
        <x:v>광학계 상태 모니터링의 정상·경계·오류·복구 경로가 Sequence/Driver에 연결되고, 설정 재로딩·로그·시험증빙으로 원문 상세 요구를 충족한다.</x:v>
      </x:c>
      <x:c r="L9" s="83" t="str">
        <x:v>14, 15, 16, 17, 20, 26, 28, 29, 30, 31, 102, 103, 104, 105</x:v>
      </x:c>
      <x:c r="M9" s="83" t="str">
        <x:v>E-UI-MONITOR, E-LASER, E-CHILLER, E-BET, E-ATT, E-POWERMETER</x:v>
      </x:c>
      <x:c r="N9" s="84" t="n">
        <x:v>0.75</x:v>
      </x:c>
      <x:c r="O9" s="83" t="str">
        <x:v>부분 반영</x:v>
      </x:c>
      <x:c r="P9" s="83" t="str">
        <x:v>일부 구현은 확인되나 실장비 연동, Timeout/Alarm/Recovery, 저장·복원 또는 고객 수용시험 증빙이 부족</x:v>
      </x:c>
      <x:c r="Q9" s="83" t="str">
        <x:v>02-06, 09-02</x:v>
      </x:c>
      <x:c r="R9" s="83" t="str">
        <x:v>26' 11월 1주</x:v>
      </x:c>
      <x:c r="S9" s="83" t="str">
        <x:v>코드 회귀→통신/Sequence 오류주입→실장비 수용시험</x:v>
      </x:c>
      <x:c r="T9" s="83" t="str">
        <x:f>IF(COUNTIF($C$6:$C$56,C9)=1,"정상","중복")</x:f>
        <x:v>정상</x:v>
      </x:c>
      <x:c r="U9" s="83" t="str">
        <x:f>IF(Q9&lt;&gt;"","연결","누락")</x:f>
        <x:v>연결</x:v>
      </x:c>
    </x:row>
    <x:row r="10" ht="42" customHeight="1">
      <x:c r="A10" s="83" t="n">
        <x:v>5</x:v>
      </x:c>
      <x:c r="B10" s="83" t="str">
        <x:v>3.1 자동화 및 모니터링 
(Auto &amp; Monitoring)</x:v>
      </x:c>
      <x:c r="C10" s="83" t="str">
        <x:v>AM-005</x:v>
      </x:c>
      <x:c r="D10" s="83" t="str">
        <x:v>Align 결과 모니터링</x:v>
      </x:c>
      <x:c r="E10" s="83" t="str">
        <x:v>· 기준(Ref.) 대비 Align 결과 및 Distortion Key 위치 정보를 그래픽으로 시각화하여 표시</x:v>
      </x:c>
      <x:c r="F10" s="83" t="str">
        <x:v>distortion key 화면도 같이 표현? 6개?</x:v>
      </x:c>
      <x:c r="G10" s="83" t="str">
        <x:v>6개 표현해야함</x:v>
      </x:c>
      <x:c r="H10" s="83" t="str">
        <x:v>+ 화면에 파인얼라인키 및 디스토션키 표시 필요 (디스토션 3개 포함 총 10개, A3 LD)
+ 정방향 및 프로세스 레디 위치로 갈 때만 보정
+ 기판 변형량 평가를 위해 갈 때와 올 때 모두 측정할 수 있도록 기능 구현은 필요 (김덕호 프로)</x:v>
      </x:c>
      <x:c r="I10" s="83" t="str">
        <x:v>[AM-005] Align 결과 모니터링: · 기준(Ref.) 대비 Align 결과 및 Distortion Key 위치 정보를 그래픽으로 시각화하여 표시 / 입력·상태·오류·복구·저장·검증 조건을 명시하여 Align 결과 모니터링의 정상·경계·오류·복구 경로가 Sequence/Driver에 연결되고, 설정 재로딩·로그·시험증빙으로 원문 상세 요구를 충족한다.</x:v>
      </x:c>
      <x:c r="J10" s="83" t="str">
        <x:v>WPF Main/Monitor, CStationProcess, Interface/Device Manager, Log/Alarm</x:v>
      </x:c>
      <x:c r="K10" s="83" t="str">
        <x:v>Align 결과 모니터링의 정상·경계·오류·복구 경로가 Sequence/Driver에 연결되고, 설정 재로딩·로그·시험증빙으로 원문 상세 요구를 충족한다.</x:v>
      </x:c>
      <x:c r="L10" s="83" t="str">
        <x:v>87, 88, 113, 114</x:v>
      </x:c>
      <x:c r="M10" s="83" t="str">
        <x:v>E-REVIEW, E-DISTORTION</x:v>
      </x:c>
      <x:c r="N10" s="84" t="n">
        <x:v>0.76</x:v>
      </x:c>
      <x:c r="O10" s="83" t="str">
        <x:v>부분 반영</x:v>
      </x:c>
      <x:c r="P10" s="83" t="str">
        <x:v>일부 구현은 확인되나 실장비 연동, Timeout/Alarm/Recovery, 저장·복원 또는 고객 수용시험 증빙이 부족</x:v>
      </x:c>
      <x:c r="Q10" s="83" t="str">
        <x:v>07-01, 08-04</x:v>
      </x:c>
      <x:c r="R10" s="83" t="str">
        <x:v>26' 11월 1주</x:v>
      </x:c>
      <x:c r="S10" s="83" t="str">
        <x:v>코드 회귀→통신/Sequence 오류주입→실장비 수용시험</x:v>
      </x:c>
      <x:c r="T10" s="83" t="str">
        <x:f>IF(COUNTIF($C$6:$C$56,C10)=1,"정상","중복")</x:f>
        <x:v>정상</x:v>
      </x:c>
      <x:c r="U10" s="83" t="str">
        <x:f>IF(Q10&lt;&gt;"","연결","누락")</x:f>
        <x:v>연결</x:v>
      </x:c>
    </x:row>
    <x:row r="11" ht="42" customHeight="1">
      <x:c r="A11" s="83" t="n">
        <x:v>6</x:v>
      </x:c>
      <x:c r="B11" s="83" t="str">
        <x:v>3.1 자동화 및 모니터링 
(Auto &amp; Monitoring)</x:v>
      </x:c>
      <x:c r="C11" s="83" t="str">
        <x:v>AM-006</x:v>
      </x:c>
      <x:c r="D11" s="83" t="str">
        <x:v>Interface 상태 모니터링</x:v>
      </x:c>
      <x:c r="E11" s="83" t="str">
        <x:v>· Sequence 별 Interface 신호 상태
· 보호윈도우 교체 Signal 모니터링</x:v>
      </x:c>
      <x:c r="F11" s="83" t="str">
        <x:v>보호윈도우 교체 상황조건</x:v>
      </x:c>
      <x:c r="G11" s="83" t="str">
        <x:v>ATT 8개 헤드 중 사용량이 한계치에 도달하면 가공 쪽에 신호 발생. 기판 Out 시와 In 시 각각 한 번씩 총 두 번 체크. ATT각도 또는 사용 매수를 기준으로 교체하며, 사용 매수 초과 시 파워미터 측정 없이 패스. 가공에서는 무조건 교체하며 쉬프트 여부는 물류에서 결정. 가공이든 물류이든 한쪽에서 통합 관리하는 것이 효율적 (김덕호 프로). ATT 각도 돌리는 동작까지 시퀀스에 포함 필요.</x:v>
      </x:c>
      <x:c r="H11" s="83" t="str">
        <x:v>+ 8개 중 1개만 도달하거나 최대 매수에 도달해도 교체하는 OR 조건 (총 9개 조건: 어텐 각도 8개 + 가공 매수)
+ 쉬프트 또는 교체 여부는 물류에서 판단함 (인/아웃 모두 모니터링)
+ 보호윈도우 교체 시 파워 보정을 하지 않으며, 교체 완료 후에 보정 진행 (나갈 기판은 측정 제외)</x:v>
      </x:c>
      <x:c r="I11" s="83" t="str">
        <x:v>[AM-006] Interface 상태 모니터링: · Sequence 별 Interface 신호 상태
· 보호윈도우 교체 Signal 모니터링 / 입력·상태·오류·복구·저장·검증 조건을 명시하여 Interface 상태 모니터링의 정상·경계·오류·복구 경로가 Sequence/Driver에 연결되고, 설정 재로딩·로그·시험증빙으로 원문 상세 요구를 충족한다.</x:v>
      </x:c>
      <x:c r="J11" s="83" t="str">
        <x:v>WPF Main/Monitor, CStationProcess, Interface/Device Manager, Log/Alarm</x:v>
      </x:c>
      <x:c r="K11" s="83" t="str">
        <x:v>Interface 상태 모니터링의 정상·경계·오류·복구 경로가 Sequence/Driver에 연결되고, 설정 재로딩·로그·시험증빙으로 원문 상세 요구를 충족한다.</x:v>
      </x:c>
      <x:c r="L11" s="83" t="str">
        <x:v>22, 23, 24, 32, 33, 34, 115</x:v>
      </x:c>
      <x:c r="M11" s="83" t="str">
        <x:v>E-SERIAL, E-SOCKET, E-PLC, E-REVIEW, E-AUTOMATION, E-REGRESSION</x:v>
      </x:c>
      <x:c r="N11" s="84" t="n">
        <x:v>0.8</x:v>
      </x:c>
      <x:c r="O11" s="83" t="str">
        <x:v>부분 반영</x:v>
      </x:c>
      <x:c r="P11" s="83" t="str">
        <x:v>일부 구현은 확인되나 실장비 연동, Timeout/Alarm/Recovery, 저장·복원 또는 고객 수용시험 증빙이 부족</x:v>
      </x:c>
      <x:c r="Q11" s="83" t="str">
        <x:v>03-07, 09-05</x:v>
      </x:c>
      <x:c r="R11" s="83" t="str">
        <x:v>26' 12월 1주</x:v>
      </x:c>
      <x:c r="S11" s="83" t="str">
        <x:v>코드 회귀→통신/Sequence 오류주입→실장비 수용시험</x:v>
      </x:c>
      <x:c r="T11" s="83" t="str">
        <x:f>IF(COUNTIF($C$6:$C$56,C11)=1,"정상","중복")</x:f>
        <x:v>정상</x:v>
      </x:c>
      <x:c r="U11" s="83" t="str">
        <x:f>IF(Q11&lt;&gt;"","연결","누락")</x:f>
        <x:v>연결</x:v>
      </x:c>
    </x:row>
    <x:row r="12" ht="42" customHeight="1">
      <x:c r="A12" s="83" t="n">
        <x:v>7</x:v>
      </x:c>
      <x:c r="B12" s="83" t="str">
        <x:v>3.1 자동화 및 모니터링 
(Auto &amp; Monitoring)</x:v>
      </x:c>
      <x:c r="C12" s="83" t="str">
        <x:v>AM-007</x:v>
      </x:c>
      <x:c r="D12" s="83" t="str">
        <x:v>전체 인터락 모니터링</x:v>
      </x:c>
      <x:c r="E12" s="83" t="str">
        <x:v>· Laser, 광학계, Stage, 광학 Table, Chamber, Optic 등 설비 전체 인터락 상태 통합 표시</x:v>
      </x:c>
      <x:c r="F12" s="83" t="str"/>
      <x:c r="G12" s="83" t="str"/>
      <x:c r="H12" s="83" t="str">
        <x:v>+ 옵틱 PC에서 송신하는 신호 (예: 칠러 다운 시) 및 각 컴포넌트별 개별 인터락 필수 구현</x:v>
      </x:c>
      <x:c r="I12" s="83" t="str">
        <x:v>[AM-007] 전체 인터락 모니터링: · Laser, 광학계, Stage, 광학 Table, Chamber, Optic 등 설비 전체 인터락 상태 통합 표시 / 입력·상태·오류·복구·저장·검증 조건을 명시하여 전체 인터락 모니터링의 정상·경계·오류·복구 경로가 Sequence/Driver에 연결되고, 설정 재로딩·로그·시험증빙으로 원문 상세 요구를 충족한다.</x:v>
      </x:c>
      <x:c r="J12" s="83" t="str">
        <x:v>WPF Main/Monitor, CStationProcess, Interface/Device Manager, Log/Alarm</x:v>
      </x:c>
      <x:c r="K12" s="83" t="str">
        <x:v>전체 인터락 모니터링의 정상·경계·오류·복구 경로가 Sequence/Driver에 연결되고, 설정 재로딩·로그·시험증빙으로 원문 상세 요구를 충족한다.</x:v>
      </x:c>
      <x:c r="L12" s="83" t="str">
        <x:v>2, 63, 64, 65</x:v>
      </x:c>
      <x:c r="M12" s="83" t="str">
        <x:v>E-UI-MAIN, E-INTERLOCK</x:v>
      </x:c>
      <x:c r="N12" s="84" t="n">
        <x:v>0.82</x:v>
      </x:c>
      <x:c r="O12" s="83" t="str">
        <x:v>부분 반영</x:v>
      </x:c>
      <x:c r="P12" s="83" t="str">
        <x:v>일부 구현은 확인되나 실장비 연동, Timeout/Alarm/Recovery, 저장·복원 또는 고객 수용시험 증빙이 부족</x:v>
      </x:c>
      <x:c r="Q12" s="83" t="str">
        <x:v>10-01, 02-01</x:v>
      </x:c>
      <x:c r="R12" s="83" t="str">
        <x:v>26' 10월 3주</x:v>
      </x:c>
      <x:c r="S12" s="83" t="str">
        <x:v>코드 회귀→통신/Sequence 오류주입→실장비 수용시험</x:v>
      </x:c>
      <x:c r="T12" s="83" t="str">
        <x:f>IF(COUNTIF($C$6:$C$56,C12)=1,"정상","중복")</x:f>
        <x:v>정상</x:v>
      </x:c>
      <x:c r="U12" s="83" t="str">
        <x:f>IF(Q12&lt;&gt;"","연결","누락")</x:f>
        <x:v>연결</x:v>
      </x:c>
    </x:row>
    <x:row r="13" ht="42" customHeight="1">
      <x:c r="A13" s="83" t="n">
        <x:v>8</x:v>
      </x:c>
      <x:c r="B13" s="83" t="str">
        <x:v>3.1 자동화 및 모니터링 
(Auto &amp; Monitoring)</x:v>
      </x:c>
      <x:c r="C13" s="83" t="str">
        <x:v>AM-008</x:v>
      </x:c>
      <x:c r="D13" s="83" t="str">
        <x:v>Sequence 진행 모니터링</x:v>
      </x:c>
      <x:c r="E13" s="83" t="str">
        <x:v>· 현재 수행 중인 Sequence (Step) 진행 상황 실시간 추적</x:v>
      </x:c>
      <x:c r="F13" s="83" t="str"/>
      <x:c r="G13" s="83" t="str"/>
      <x:c r="H13" s="83" t="str">
        <x:v>SDC 의견수렴</x:v>
      </x:c>
      <x:c r="I13" s="83" t="str">
        <x:v>[AM-008] Sequence 진행 모니터링: · 현재 수행 중인 Sequence (Step) 진행 상황 실시간 추적 / 입력·상태·오류·복구·저장·검증 조건을 명시하여 Sequence 진행 모니터링의 정상·경계·오류·복구 경로가 Sequence/Driver에 연결되고, 설정 재로딩·로그·시험증빙으로 원문 상세 요구를 충족한다.</x:v>
      </x:c>
      <x:c r="J13" s="83" t="str">
        <x:v>WPF Main/Monitor, CStationProcess, Interface/Device Manager, Log/Alarm</x:v>
      </x:c>
      <x:c r="K13" s="83" t="str">
        <x:v>Sequence 진행 모니터링의 정상·경계·오류·복구 경로가 Sequence/Driver에 연결되고, 설정 재로딩·로그·시험증빙으로 원문 상세 요구를 충족한다.</x:v>
      </x:c>
      <x:c r="L13" s="83" t="str">
        <x:v>1, 47, 48, 49, 50, 51, 52, 53, 54, 55, 56, 57, 58, 76</x:v>
      </x:c>
      <x:c r="M13" s="83" t="str">
        <x:v>E-UI-MAIN, E-SEQUENCE, E-SEQUENCE-STOP</x:v>
      </x:c>
      <x:c r="N13" s="84" t="n">
        <x:v>0.75</x:v>
      </x:c>
      <x:c r="O13" s="83" t="str">
        <x:v>부분 반영</x:v>
      </x:c>
      <x:c r="P13" s="83" t="str">
        <x:v>일부 구현은 확인되나 실장비 연동, Timeout/Alarm/Recovery, 저장·복원 또는 고객 수용시험 증빙이 부족</x:v>
      </x:c>
      <x:c r="Q13" s="83" t="str">
        <x:v>02-01, 05-02</x:v>
      </x:c>
      <x:c r="R13" s="83" t="str">
        <x:v>26' 11월 2주</x:v>
      </x:c>
      <x:c r="S13" s="83" t="str">
        <x:v>코드 회귀→통신/Sequence 오류주입→실장비 수용시험</x:v>
      </x:c>
      <x:c r="T13" s="83" t="str">
        <x:f>IF(COUNTIF($C$6:$C$56,C13)=1,"정상","중복")</x:f>
        <x:v>정상</x:v>
      </x:c>
      <x:c r="U13" s="83" t="str">
        <x:f>IF(Q13&lt;&gt;"","연결","누락")</x:f>
        <x:v>연결</x:v>
      </x:c>
    </x:row>
    <x:row r="14" ht="42" customHeight="1">
      <x:c r="A14" s="83" t="n">
        <x:v>9</x:v>
      </x:c>
      <x:c r="B14" s="83" t="str">
        <x:v>3.1 자동화 및 모니터링 
(Auto &amp; Monitoring)</x:v>
      </x:c>
      <x:c r="C14" s="83" t="str">
        <x:v>AM-009</x:v>
      </x:c>
      <x:c r="D14" s="83" t="str">
        <x:v>운영 환경 현황 모니터링</x:v>
      </x:c>
      <x:c r="E14" s="83" t="str">
        <x:v>· 현재 적용된 운영 환경 설정 값 실시간 확인</x:v>
      </x:c>
      <x:c r="F14" s="83" t="str">
        <x:v>목적 (보여줘야할 필수항목)</x:v>
      </x:c>
      <x:c r="G14" s="83" t="str">
        <x:v>시퀀스 상태, 보정 방식, 검사 줄 수, 보정 진행 여부 등 정밀도 확보를 위한 옵션을 필수로 표시 필요.</x:v>
      </x:c>
      <x:c r="H14" s="83" t="str">
        <x:v>SDC 의견수렴</x:v>
      </x:c>
      <x:c r="I14" s="83" t="str">
        <x:v>[AM-009] 운영 환경 현황 모니터링: · 현재 적용된 운영 환경 설정 값 실시간 확인 / 입력·상태·오류·복구·저장·검증 조건을 명시하여 운영 환경 현황 모니터링의 정상·경계·오류·복구 경로가 Sequence/Driver에 연결되고, 설정 재로딩·로그·시험증빙으로 원문 상세 요구를 충족한다.</x:v>
      </x:c>
      <x:c r="J14" s="83" t="str">
        <x:v>WPF Main/Monitor, CStationProcess, Interface/Device Manager, Log/Alarm</x:v>
      </x:c>
      <x:c r="K14" s="83" t="str">
        <x:v>운영 환경 현황 모니터링의 정상·경계·오류·복구 경로가 Sequence/Driver에 연결되고, 설정 재로딩·로그·시험증빙으로 원문 상세 요구를 충족한다.</x:v>
      </x:c>
      <x:c r="L14" s="83" t="str">
        <x:v>1, 10, 11, 76, 100, 101</x:v>
      </x:c>
      <x:c r="M14" s="83" t="str">
        <x:v>E-UI-MAIN, E-UI-SETTING, E-SETTING-FILE</x:v>
      </x:c>
      <x:c r="N14" s="84" t="n">
        <x:v>0.83</x:v>
      </x:c>
      <x:c r="O14" s="83" t="str">
        <x:v>부분 반영</x:v>
      </x:c>
      <x:c r="P14" s="83" t="str">
        <x:v>일부 구현은 확인되나 실장비 연동, Timeout/Alarm/Recovery, 저장·복원 또는 고객 수용시험 증빙이 부족</x:v>
      </x:c>
      <x:c r="Q14" s="83" t="str">
        <x:v>02-01, 02-04</x:v>
      </x:c>
      <x:c r="R14" s="83" t="str">
        <x:v>26' 9월 3주</x:v>
      </x:c>
      <x:c r="S14" s="83" t="str">
        <x:v>코드 회귀→통신/Sequence 오류주입→실장비 수용시험</x:v>
      </x:c>
      <x:c r="T14" s="83" t="str">
        <x:f>IF(COUNTIF($C$6:$C$56,C14)=1,"정상","중복")</x:f>
        <x:v>정상</x:v>
      </x:c>
      <x:c r="U14" s="83" t="str">
        <x:f>IF(Q14&lt;&gt;"","연결","누락")</x:f>
        <x:v>연결</x:v>
      </x:c>
    </x:row>
    <x:row r="15" ht="42" customHeight="1">
      <x:c r="A15" s="83" t="n">
        <x:v>10</x:v>
      </x:c>
      <x:c r="B15" s="83" t="str">
        <x:v>3.1 자동화 및 모니터링 
(Auto &amp; Monitoring)</x:v>
      </x:c>
      <x:c r="C15" s="83" t="str">
        <x:v>AM-010</x:v>
      </x:c>
      <x:c r="D15" s="83" t="str">
        <x:v>구동부 상태 모니터링</x:v>
      </x:c>
      <x:c r="E15" s="83" t="str">
        <x:v>· 주요 구동부 (Stage, Optic Table 등)의 상태 실시간 표시</x:v>
      </x:c>
      <x:c r="F15" s="83" t="str">
        <x:v>목적 (보여줘야할 필수항목)</x:v>
      </x:c>
      <x:c r="G15" s="83" t="str"/>
      <x:c r="H15" s="83" t="str"/>
      <x:c r="I15" s="83" t="str">
        <x:v>[AM-010] 구동부 상태 모니터링: · 주요 구동부 (Stage, Optic Table 등)의 상태 실시간 표시 / 입력·상태·오류·복구·저장·검증 조건을 명시하여 구동부 상태 모니터링의 정상·경계·오류·복구 경로가 Sequence/Driver에 연결되고, 설정 재로딩·로그·시험증빙으로 원문 상세 요구를 충족한다.</x:v>
      </x:c>
      <x:c r="J15" s="83" t="str">
        <x:v>WPF Main/Monitor, CStationProcess, Interface/Device Manager, Log/Alarm</x:v>
      </x:c>
      <x:c r="K15" s="83" t="str">
        <x:v>구동부 상태 모니터링의 정상·경계·오류·복구 경로가 Sequence/Driver에 연결되고, 설정 재로딩·로그·시험증빙으로 원문 상세 요구를 충족한다.</x:v>
      </x:c>
      <x:c r="L15" s="83" t="str">
        <x:v>17, 19, 20, 25, 29, 30, 102, 103</x:v>
      </x:c>
      <x:c r="M15" s="83" t="str">
        <x:v>E-UI-MONITOR, E-XPS, E-BET, E-ATT</x:v>
      </x:c>
      <x:c r="N15" s="84" t="n">
        <x:v>0.73</x:v>
      </x:c>
      <x:c r="O15" s="83" t="str">
        <x:v>부분 반영</x:v>
      </x:c>
      <x:c r="P15" s="83" t="str">
        <x:v>일부 구현은 확인되나 실장비 연동, Timeout/Alarm/Recovery, 저장·복원 또는 고객 수용시험 증빙이 부족</x:v>
      </x:c>
      <x:c r="Q15" s="83" t="str">
        <x:v>02-06, 06-01</x:v>
      </x:c>
      <x:c r="R15" s="83" t="str">
        <x:v>26' 10월 3주</x:v>
      </x:c>
      <x:c r="S15" s="83" t="str">
        <x:v>코드 회귀→통신/Sequence 오류주입→실장비 수용시험</x:v>
      </x:c>
      <x:c r="T15" s="83" t="str">
        <x:f>IF(COUNTIF($C$6:$C$56,C15)=1,"정상","중복")</x:f>
        <x:v>정상</x:v>
      </x:c>
      <x:c r="U15" s="83" t="str">
        <x:f>IF(Q15&lt;&gt;"","연결","누락")</x:f>
        <x:v>연결</x:v>
      </x:c>
    </x:row>
    <x:row r="16" ht="42" customHeight="1">
      <x:c r="A16" s="83" t="n">
        <x:v>11</x:v>
      </x:c>
      <x:c r="B16" s="83" t="str">
        <x:v>3.1 자동화 및 모니터링 
(Auto &amp; Monitoring)</x:v>
      </x:c>
      <x:c r="C16" s="83" t="str">
        <x:v>AM-011</x:v>
      </x:c>
      <x:c r="D16" s="83" t="str">
        <x:v>자동 가공 실행</x:v>
      </x:c>
      <x:c r="E16" s="83" t="str">
        <x:v>· Flow Chart 에 의거한 자동 가공 사이클 수행 및 0 선 방어 기능 포함</x:v>
      </x:c>
      <x:c r="F16" s="83" t="str">
        <x:v>0선방어 시 스테이지에 전달할 검사좌표 기준</x:v>
      </x:c>
      <x:c r="G16" s="83" t="str"/>
      <x:c r="H16" s="83" t="str">
        <x:v>+ X축은 항상 먼저 도착하여 대기해야 함 (A5는 200mm/s, 1헤드당 1개씩 찍음)
+ 0선 좌표 위치는 레시피가 동일할 경우 고정
+ 스캐너 1헤드당 1~2개 셀 관여 (X방향으로 110mm 관여)
+ 가공 속도와 리뷰 속도를 고려하여 1기판당 약 2포인트(2개 헤드 수준) 순환 검사 진행 (헤드 1,2번 &gt; 3,4번 &gt; 5,6번 &gt; 7,8번)
+ 0선 가공은 보정을 생략하며, 레이저 출사 상태 및 가공 홀의 보조 전극 진입 여부를 통해 합/불만 판단 (TACT 시간 유지를 위한 최선책)
+ 물류에서 좌표를 생성하여 리뷰에 전달
+ 0선 2포인트 상황에서 3포인트 가공 시 알람 발생 로직 필요 (IPS 내부 판단)</x:v>
      </x:c>
      <x:c r="I16" s="83" t="str">
        <x:v>[AM-011] 자동 가공 실행: · Flow Chart 에 의거한 자동 가공 사이클 수행 및 0 선 방어 기능 포함 / 입력·상태·오류·복구·저장·검증 조건을 명시하여 대표 Recipe로 PreCheck→Align→Optic→Stage/MOF→Scan→Review→Complete가 1회 이상 실장비에서 완료되고 0선 방어 분기가 검증된다.</x:v>
      </x:c>
      <x:c r="J16" s="83" t="str">
        <x:v>WPF Main/Monitor, CStationProcess, Interface/Device Manager, Log/Alarm</x:v>
      </x:c>
      <x:c r="K16" s="83" t="str">
        <x:v>대표 Recipe로 PreCheck→Align→Optic→Stage/MOF→Scan→Review→Complete가 1회 이상 실장비에서 완료되고 0선 방어 분기가 검증된다.</x:v>
      </x:c>
      <x:c r="L16" s="83" t="str">
        <x:v>47, 48, 49, 50, 51, 52, 53, 54, 55, 56, 57, 58, 76, 116, 117</x:v>
      </x:c>
      <x:c r="M16" s="83" t="str">
        <x:v>E-SEQUENCE, E-SEQUENCE-STOP, E-UI-MAIN, E-SCRIPT, E-COORD</x:v>
      </x:c>
      <x:c r="N16" s="84" t="n">
        <x:v>0.78</x:v>
      </x:c>
      <x:c r="O16" s="83" t="str">
        <x:v>부분 반영</x:v>
      </x:c>
      <x:c r="P16" s="83" t="str">
        <x:v>일부 구현은 확인되나 실장비 연동, Timeout/Alarm/Recovery, 저장·복원 또는 고객 수용시험 증빙이 부족</x:v>
      </x:c>
      <x:c r="Q16" s="83" t="str">
        <x:v>05-02, 08-06</x:v>
      </x:c>
      <x:c r="R16" s="83" t="str">
        <x:v>26' 11월 3주</x:v>
      </x:c>
      <x:c r="S16" s="83" t="str">
        <x:v>코드 회귀→통신/Sequence 오류주입→실장비 수용시험</x:v>
      </x:c>
      <x:c r="T16" s="83" t="str">
        <x:f>IF(COUNTIF($C$6:$C$56,C16)=1,"정상","중복")</x:f>
        <x:v>정상</x:v>
      </x:c>
      <x:c r="U16" s="83" t="str">
        <x:f>IF(Q16&lt;&gt;"","연결","누락")</x:f>
        <x:v>연결</x:v>
      </x:c>
    </x:row>
    <x:row r="17" ht="42" customHeight="1">
      <x:c r="A17" s="83" t="n">
        <x:v>12</x:v>
      </x:c>
      <x:c r="B17" s="83" t="str">
        <x:v>3.1 자동화 및 모니터링 
(Auto &amp; Monitoring)</x:v>
      </x:c>
      <x:c r="C17" s="83" t="str">
        <x:v>AM-012</x:v>
      </x:c>
      <x:c r="D17" s="83" t="str">
        <x:v>자동 정밀도 보정</x:v>
      </x:c>
      <x:c r="E17" s="83" t="str">
        <x:v>· Flow Chart 에 의거한 가공 파워 및 정밀도 자동 보정 로직 수행</x:v>
      </x:c>
      <x:c r="F17" s="83" t="str">
        <x:v>정밀도 자동보정로직 설명 요청</x:v>
      </x:c>
      <x:c r="G17" s="83" t="str">
        <x:v>APC 데이터는 파일 형태로 받으며, CIM PC 측 공유폴더로 접근하여 다운로드. 별도의 검사기가 존재하며 현재 설비는 0선 방어 기능만 있음. APC 구축에는 다소 시간 소요 예상.</x:v>
      </x:c>
      <x:c r="H17" s="83" t="str">
        <x:v>+ APC 데이터는 기판 단위의 테이블 형태 파일 정보임 (기판 내 위치별 데이터 포함)
+ 3점/2점/1점 방식이 있으며, 해당 점들의 좌표를 검사기에 제공해야 함 (모델 최초 생성 시 송신)
+ Step 검사 진행 시 1헤드당 12포인트(총 100포인트)를 추출하여 제공해야 하며, 이는 자공정 좌표와 일치해야 함</x:v>
      </x:c>
      <x:c r="I17" s="83" t="str">
        <x:v>[AM-012] 자동 정밀도 보정: · Flow Chart 에 의거한 가공 파워 및 정밀도 자동 보정 로직 수행 / 입력·상태·오류·복구·저장·검증 조건을 명시하여 APC 파일 유효성·Recipe 일치·3/2/1점 규칙을 검증한 뒤 Offset이 적용되고, Power 보정이 Tolerance 내 종료되며 원본/적용값이 이력화된다.</x:v>
      </x:c>
      <x:c r="J17" s="83" t="str">
        <x:v>WPF Main/Monitor, CStationProcess, Interface/Device Manager, Log/Alarm</x:v>
      </x:c>
      <x:c r="K17" s="83" t="str">
        <x:v>APC 파일 유효성·Recipe 일치·3/2/1점 규칙을 검증한 뒤 Offset이 적용되고, Power 보정이 Tolerance 내 종료되며 원본/적용값이 이력화된다.</x:v>
      </x:c>
      <x:c r="L17" s="83" t="str">
        <x:v>55, 56, 89, 90, 91, 92, 105, 112</x:v>
      </x:c>
      <x:c r="M17" s="83" t="str">
        <x:v>E-SEQUENCE, E-REVIEW, E-POWERMETER, E-APC-PLACEHOLDER</x:v>
      </x:c>
      <x:c r="N17" s="84" t="n">
        <x:v>0.61</x:v>
      </x:c>
      <x:c r="O17" s="83" t="str">
        <x:v>유사하나 불충분</x:v>
      </x:c>
      <x:c r="P17" s="83" t="str">
        <x:v>유사 UI/기초 로직은 있으나 고객 대상·조건·데이터·적용방식이 달라 사양확정과 전용 로직·검증이 필요</x:v>
      </x:c>
      <x:c r="Q17" s="83" t="str">
        <x:v>09-04, 07-05</x:v>
      </x:c>
      <x:c r="R17" s="83" t="str">
        <x:v>26' 11월 4주</x:v>
      </x:c>
      <x:c r="S17" s="83" t="str">
        <x:v>코드 회귀→통신/Sequence 오류주입→실장비 수용시험</x:v>
      </x:c>
      <x:c r="T17" s="83" t="str">
        <x:f>IF(COUNTIF($C$6:$C$56,C17)=1,"정상","중복")</x:f>
        <x:v>정상</x:v>
      </x:c>
      <x:c r="U17" s="83" t="str">
        <x:f>IF(Q17&lt;&gt;"","연결","누락")</x:f>
        <x:v>연결</x:v>
      </x:c>
    </x:row>
    <x:row r="18" ht="42" customHeight="1">
      <x:c r="A18" s="83" t="n">
        <x:v>13</x:v>
      </x:c>
      <x:c r="B18" s="83" t="str">
        <x:v>3.1 자동화 및 모니터링 
(Auto &amp; Monitoring)</x:v>
      </x:c>
      <x:c r="C18" s="83" t="str">
        <x:v>AM-013</x:v>
      </x:c>
      <x:c r="D18" s="83" t="str">
        <x:v>운전 모드 제어</x:v>
      </x:c>
      <x:c r="E18" s="83" t="str">
        <x:v>· Auto Mode Start/Stop 및 Reset 기능 제공</x:v>
      </x:c>
      <x:c r="F18" s="83" t="str">
        <x:v>Stop은 시퀀스 stop인가요?, Reset을 통해 수행되는 것</x:v>
      </x:c>
      <x:c r="G18" s="83" t="str"/>
      <x:c r="H18" s="83" t="str">
        <x:v>+ 스탑 클릭 즉시 정지 또는 Cycle 정지 창 표시, 리셋은 시퀀스 리셋(IO 리셋 개념)으로 동작</x:v>
      </x:c>
      <x:c r="I18" s="83" t="str">
        <x:v>[AM-013] 운전 모드 제어: · Auto Mode Start/Stop 및 Reset 기능 제공 / 입력·상태·오류·복구·저장·검증 조건을 명시하여 운전 모드 제어의 정상·경계·오류·복구 경로가 Sequence/Driver에 연결되고, 설정 재로딩·로그·시험증빙으로 원문 상세 요구를 충족한다.</x:v>
      </x:c>
      <x:c r="J18" s="83" t="str">
        <x:v>WPF Main/Monitor, CStationProcess, Interface/Device Manager, Log/Alarm</x:v>
      </x:c>
      <x:c r="K18" s="83" t="str">
        <x:v>운전 모드 제어의 정상·경계·오류·복구 경로가 Sequence/Driver에 연결되고, 설정 재로딩·로그·시험증빙으로 원문 상세 요구를 충족한다.</x:v>
      </x:c>
      <x:c r="L18" s="83" t="str">
        <x:v>4, 58, 59, 60, 61, 62</x:v>
      </x:c>
      <x:c r="M18" s="83" t="str">
        <x:v>E-UI-MAIN, E-SEQUENCE-STOP</x:v>
      </x:c>
      <x:c r="N18" s="84" t="n">
        <x:v>0.73</x:v>
      </x:c>
      <x:c r="O18" s="83" t="str">
        <x:v>부분 반영</x:v>
      </x:c>
      <x:c r="P18" s="83" t="str">
        <x:v>일부 구현은 확인되나 실장비 연동, Timeout/Alarm/Recovery, 저장·복원 또는 고객 수용시험 증빙이 부족</x:v>
      </x:c>
      <x:c r="Q18" s="83" t="str">
        <x:v>05-04</x:v>
      </x:c>
      <x:c r="R18" s="83" t="str">
        <x:v>26' 11월 3주</x:v>
      </x:c>
      <x:c r="S18" s="83" t="str">
        <x:v>코드 회귀→통신/Sequence 오류주입→실장비 수용시험</x:v>
      </x:c>
      <x:c r="T18" s="83" t="str">
        <x:f>IF(COUNTIF($C$6:$C$56,C18)=1,"정상","중복")</x:f>
        <x:v>정상</x:v>
      </x:c>
      <x:c r="U18" s="83" t="str">
        <x:f>IF(Q18&lt;&gt;"","연결","누락")</x:f>
        <x:v>연결</x:v>
      </x:c>
    </x:row>
    <x:row r="19" ht="42" customHeight="1">
      <x:c r="A19" s="83" t="n">
        <x:v>14</x:v>
      </x:c>
      <x:c r="B19" s="83" t="str">
        <x:v>3.1 자동화 및 모니터링 
(Auto &amp; Monitoring)</x:v>
      </x:c>
      <x:c r="C19" s="83" t="str">
        <x:v>AM-014</x:v>
      </x:c>
      <x:c r="D19" s="83" t="str">
        <x:v>자동 Job Change 기능</x:v>
      </x:c>
      <x:c r="E19" s="83" t="str">
        <x:v>· Recipe(PPID) 변경에 따라 설비 Recipe 및 공정 관련 파라미터 자동 설정 변경</x:v>
      </x:c>
      <x:c r="F19" s="83" t="str">
        <x:v>오토잡체인지에 대한 정확한 의미</x:v>
      </x:c>
      <x:c r="G19" s="83" t="str">
        <x:v>셀 배치 또는 모델 변경을 의미함. 설비 측 기구 변경과 SW 레시피 변경이 동시 진행되며 모델별로 보정 테이블이 상이함. 레이저 조건, 스캐너 동작 조건, DOE Z축 등이 전부 변경되며 전극 크기도 변경 가능. 이 경우 리뷰 측 레시피도 변경 필요. 가공 사이즈도 변경될 수 있으며 사전에 약속된 모델만 진행. 최초 투입 기판은 Job Set으로 처리.</x:v>
      </x:c>
      <x:c r="H19" s="83" t="str">
        <x:v>SDC 의견수렴</x:v>
      </x:c>
      <x:c r="I19" s="83" t="str">
        <x:v>[AM-014] 자동 Job Change 기능: · Recipe(PPID) 변경에 따라 설비 Recipe 및 공정 관련 파라미터 자동 설정 변경 / 입력·상태·오류·복구·저장·검증 조건을 명시하여 PPID 변경 1건으로 Process/Stage/Vision Recipe와 Laser/Scanner/DOE/보정 Table이 원자적으로 갱신되고 실패 시 이전 상태로 복원된다.</x:v>
      </x:c>
      <x:c r="J19" s="83" t="str">
        <x:v>WPF Main/Monitor, CStationProcess, Interface/Device Manager, Log/Alarm</x:v>
      </x:c>
      <x:c r="K19" s="83" t="str">
        <x:v>PPID 변경 1건으로 Process/Stage/Vision Recipe와 Laser/Scanner/DOE/보정 Table이 원자적으로 갱신되고 실패 시 이전 상태로 복원된다.</x:v>
      </x:c>
      <x:c r="L19" s="83" t="str">
        <x:v>93, 118, 119, 120</x:v>
      </x:c>
      <x:c r="M19" s="83" t="str">
        <x:v>E-RECIPE-FILE, E-NO-JOBCHANGE</x:v>
      </x:c>
      <x:c r="N19" s="84" t="n">
        <x:v>0.47</x:v>
      </x:c>
      <x:c r="O19" s="83" t="str">
        <x:v>미반영</x:v>
      </x:c>
      <x:c r="P19" s="83" t="str">
        <x:v>전용 Driver/Sequence/UI/데이터 모델의 직접 구현 근거가 없어 신규 구현과 단위·통합·실장비 시험이 필요</x:v>
      </x:c>
      <x:c r="Q19" s="83" t="str">
        <x:v>05-05</x:v>
      </x:c>
      <x:c r="R19" s="83" t="str">
        <x:v>26' 11월 3주</x:v>
      </x:c>
      <x:c r="S19" s="83" t="str">
        <x:v>신규 단위시험→통합시험→실장비 Witness</x:v>
      </x:c>
      <x:c r="T19" s="83" t="str">
        <x:f>IF(COUNTIF($C$6:$C$56,C19)=1,"정상","중복")</x:f>
        <x:v>정상</x:v>
      </x:c>
      <x:c r="U19" s="83" t="str">
        <x:f>IF(Q19&lt;&gt;"","연결","누락")</x:f>
        <x:v>연결</x:v>
      </x:c>
    </x:row>
    <x:row r="20" ht="42" customHeight="1">
      <x:c r="A20" s="83" t="n">
        <x:v>15</x:v>
      </x:c>
      <x:c r="B20" s="83" t="str">
        <x:v>3.1 자동화 및 모니터링 
(Auto &amp; Monitoring)</x:v>
      </x:c>
      <x:c r="C20" s="83" t="str">
        <x:v>AM-015</x:v>
      </x:c>
      <x:c r="D20" s="83" t="str">
        <x:v>Interface 초기화</x:v>
      </x:c>
      <x:c r="E20" s="83" t="str">
        <x:v>· 시스템 Interface 신호 초기화 기능</x:v>
      </x:c>
      <x:c r="F20" s="83" t="str"/>
      <x:c r="G20" s="83" t="str"/>
      <x:c r="H20" s="83" t="str">
        <x:v>SDC 의견수렴</x:v>
      </x:c>
      <x:c r="I20" s="83" t="str">
        <x:v>[AM-015] Interface 초기화: · 시스템 Interface 신호 초기화 기능 / 입력·상태·오류·복구·저장·검증 조건을 명시하여 Interface 초기화의 정상·경계·오류·복구 경로가 Sequence/Driver에 연결되고, 설정 재로딩·로그·시험증빙으로 원문 상세 요구를 충족한다.</x:v>
      </x:c>
      <x:c r="J20" s="83" t="str">
        <x:v>WPF Main/Monitor, CStationProcess, Interface/Device Manager, Log/Alarm</x:v>
      </x:c>
      <x:c r="K20" s="83" t="str">
        <x:v>Interface 초기화의 정상·경계·오류·복구 경로가 Sequence/Driver에 연결되고, 설정 재로딩·로그·시험증빙으로 원문 상세 요구를 충족한다.</x:v>
      </x:c>
      <x:c r="L20" s="83" t="str">
        <x:v>23, 24, 34, 67</x:v>
      </x:c>
      <x:c r="M20" s="83" t="str">
        <x:v>E-SOCKET, E-PLC, E-AUTOMATION, E-ALARM</x:v>
      </x:c>
      <x:c r="N20" s="84" t="n">
        <x:v>0.78</x:v>
      </x:c>
      <x:c r="O20" s="83" t="str">
        <x:v>부분 반영</x:v>
      </x:c>
      <x:c r="P20" s="83" t="str">
        <x:v>일부 구현은 확인되나 실장비 연동, Timeout/Alarm/Recovery, 저장·복원 또는 고객 수용시험 증빙이 부족</x:v>
      </x:c>
      <x:c r="Q20" s="83" t="str">
        <x:v>03-07, 10-02</x:v>
      </x:c>
      <x:c r="R20" s="83" t="str">
        <x:v>26' 11월 2주</x:v>
      </x:c>
      <x:c r="S20" s="83" t="str">
        <x:v>코드 회귀→통신/Sequence 오류주입→실장비 수용시험</x:v>
      </x:c>
      <x:c r="T20" s="83" t="str">
        <x:f>IF(COUNTIF($C$6:$C$56,C20)=1,"정상","중복")</x:f>
        <x:v>정상</x:v>
      </x:c>
      <x:c r="U20" s="83" t="str">
        <x:f>IF(Q20&lt;&gt;"","연결","누락")</x:f>
        <x:v>연결</x:v>
      </x:c>
    </x:row>
    <x:row r="21" ht="42" customHeight="1">
      <x:c r="A21" s="83" t="n">
        <x:v>16</x:v>
      </x:c>
      <x:c r="B21" s="83" t="str">
        <x:v>3.1 자동화 및 모니터링 
(Auto &amp; Monitoring)</x:v>
      </x:c>
      <x:c r="C21" s="83" t="str">
        <x:v>AM-016</x:v>
      </x:c>
      <x:c r="D21" s="83" t="str">
        <x:v>주요 운영 환경 설정</x:v>
      </x:c>
      <x:c r="E21" s="83" t="str">
        <x:v>· 자공정 설정, 0 선 방어 운영 환경 활성화, 자공정 자동 보정 기능 설정</x:v>
      </x:c>
      <x:c r="F21" s="83" t="str">
        <x:v>용어들에 대한 내용확인</x:v>
      </x:c>
      <x:c r="G21" s="83" t="str">
        <x:v>자공정은 설비자체적으로 보정을 적용하며 가공하는 것을 의미하고 0선방어가 가공 중 리뷰측정 및 보정까지 같이 진행하며, 보정값을 적용하는 부분으로 이를 자공정이라고 함. 보통 양산에서는 APC데이터를 통해 보정값이 내려오면 CIM data를 통해 보정을 하고 있음</x:v>
      </x:c>
      <x:c r="H21" s="83" t="str">
        <x:v>+ 검사기 불능 시 물류 텍 여유가 있다면 자공정 검사(3줄 검사) 후 자동 보정 진행
+ 오토 화면에 주요 옵션 기능(0선 방어 여부, 자공정 검사 후 보정 여부, 자공정 검사 주기 등) 추가 필요</x:v>
      </x:c>
      <x:c r="I21" s="83" t="str">
        <x:v>[AM-016] 주요 운영 환경 설정: · 자공정 설정, 0 선 방어 운영 환경 활성화, 자공정 자동 보정 기능 설정 / 입력·상태·오류·복구·저장·검증 조건을 명시하여 주요 운영 환경 설정의 정상·경계·오류·복구 경로가 Sequence/Driver에 연결되고, 설정 재로딩·로그·시험증빙으로 원문 상세 요구를 충족한다.</x:v>
      </x:c>
      <x:c r="J21" s="83" t="str">
        <x:v>WPF Main/Monitor, CStationProcess, Interface/Device Manager, Log/Alarm</x:v>
      </x:c>
      <x:c r="K21" s="83" t="str">
        <x:v>주요 운영 환경 설정의 정상·경계·오류·복구 경로가 Sequence/Driver에 연결되고, 설정 재로딩·로그·시험증빙으로 원문 상세 요구를 충족한다.</x:v>
      </x:c>
      <x:c r="L21" s="83" t="str">
        <x:v>10, 11, 41, 100, 101, 112</x:v>
      </x:c>
      <x:c r="M21" s="83" t="str">
        <x:v>E-UI-SETTING, E-SETTING-FILE, E-APC-PLACEHOLDER</x:v>
      </x:c>
      <x:c r="N21" s="84" t="n">
        <x:v>0.61</x:v>
      </x:c>
      <x:c r="O21" s="83" t="str">
        <x:v>부분 반영</x:v>
      </x:c>
      <x:c r="P21" s="83" t="str">
        <x:v>일부 구현은 확인되나 실장비 연동, Timeout/Alarm/Recovery, 저장·복원 또는 고객 수용시험 증빙이 부족</x:v>
      </x:c>
      <x:c r="Q21" s="83" t="str">
        <x:v>02-04, 04-06</x:v>
      </x:c>
      <x:c r="R21" s="83" t="str">
        <x:v>26' 11월 3주</x:v>
      </x:c>
      <x:c r="S21" s="83" t="str">
        <x:v>코드 회귀→통신/Sequence 오류주입→실장비 수용시험</x:v>
      </x:c>
      <x:c r="T21" s="83" t="str">
        <x:f>IF(COUNTIF($C$6:$C$56,C21)=1,"정상","중복")</x:f>
        <x:v>정상</x:v>
      </x:c>
      <x:c r="U21" s="83" t="str">
        <x:f>IF(Q21&lt;&gt;"","연결","누락")</x:f>
        <x:v>연결</x:v>
      </x:c>
    </x:row>
    <x:row r="22" ht="42" customHeight="1">
      <x:c r="A22" s="83" t="n">
        <x:v>17</x:v>
      </x:c>
      <x:c r="B22" s="83" t="str">
        <x:v>3.2 수동 제어 및 유지보수 
(Manual &amp; Maintenance)</x:v>
      </x:c>
      <x:c r="C22" s="83" t="str">
        <x:v>MM-001</x:v>
      </x:c>
      <x:c r="D22" s="83" t="str">
        <x:v>서보/구동부 상태 확인</x:v>
      </x:c>
      <x:c r="E22" s="83" t="str">
        <x:v>· 서보 별 상태 및 구동부 상태 개별 모니터링</x:v>
      </x:c>
      <x:c r="F22" s="83" t="str"/>
      <x:c r="G22" s="83" t="str"/>
      <x:c r="H22" s="83" t="str">
        <x:v>SDC 의견수렴</x:v>
      </x:c>
      <x:c r="I22" s="83" t="str">
        <x:v>[MM-001] 서보/구동부 상태 확인: · 서보 별 상태 및 구동부 상태 개별 모니터링 / 입력·상태·오류·복구·저장·검증 조건을 명시하여 서보/구동부 상태 확인의 정상·경계·오류·복구 경로가 Sequence/Driver에 연결되고, 설정 재로딩·로그·시험증빙으로 원문 상세 요구를 충족한다.</x:v>
      </x:c>
      <x:c r="J22" s="83" t="str">
        <x:v>WPF Manual, Motion/Scanner/Vision Adapter, Manual Script/Setting</x:v>
      </x:c>
      <x:c r="K22" s="83" t="str">
        <x:v>서보/구동부 상태 확인의 정상·경계·오류·복구 경로가 Sequence/Driver에 연결되고, 설정 재로딩·로그·시험증빙으로 원문 상세 요구를 충족한다.</x:v>
      </x:c>
      <x:c r="L22" s="83" t="str">
        <x:v>19, 25, 83, 103</x:v>
      </x:c>
      <x:c r="M22" s="83" t="str">
        <x:v>E-UI-MONITOR, E-XPS, E-UI-MANUAL, E-BET</x:v>
      </x:c>
      <x:c r="N22" s="84" t="n">
        <x:v>0.73</x:v>
      </x:c>
      <x:c r="O22" s="83" t="str">
        <x:v>부분 반영</x:v>
      </x:c>
      <x:c r="P22" s="83" t="str">
        <x:v>일부 구현은 확인되나 실장비 연동, Timeout/Alarm/Recovery, 저장·복원 또는 고객 수용시험 증빙이 부족</x:v>
      </x:c>
      <x:c r="Q22" s="83" t="str">
        <x:v>06-01</x:v>
      </x:c>
      <x:c r="R22" s="83" t="str">
        <x:v>26' 10월 1주</x:v>
      </x:c>
      <x:c r="S22" s="83" t="str">
        <x:v>코드 회귀→통신/Sequence 오류주입→실장비 수용시험</x:v>
      </x:c>
      <x:c r="T22" s="83" t="str">
        <x:f>IF(COUNTIF($C$6:$C$56,C22)=1,"정상","중복")</x:f>
        <x:v>정상</x:v>
      </x:c>
      <x:c r="U22" s="83" t="str">
        <x:f>IF(Q22&lt;&gt;"","연결","누락")</x:f>
        <x:v>연결</x:v>
      </x:c>
    </x:row>
    <x:row r="23" ht="42" customHeight="1">
      <x:c r="A23" s="83" t="n">
        <x:v>18</x:v>
      </x:c>
      <x:c r="B23" s="83" t="str">
        <x:v>3.2 수동 제어 및 유지보수 
(Manual &amp; Maintenance)</x:v>
      </x:c>
      <x:c r="C23" s="83" t="str">
        <x:v>MM-002</x:v>
      </x:c>
      <x:c r="D23" s="83" t="str">
        <x:v>구동부 기본 제어</x:v>
      </x:c>
      <x:c r="E23" s="83" t="str">
        <x:v>· 구동부 원점 복귀, 단위 동작, 에러 리셋 기능 제공</x:v>
      </x:c>
      <x:c r="F23" s="83" t="str"/>
      <x:c r="G23" s="83" t="str"/>
      <x:c r="H23" s="83" t="str">
        <x:v>SDC 의견수렴</x:v>
      </x:c>
      <x:c r="I23" s="83" t="str">
        <x:v>[MM-002] 구동부 기본 제어: · 구동부 원점 복귀, 단위 동작, 에러 리셋 기능 제공 / 입력·상태·오류·복구·저장·검증 조건을 명시하여 구동부 기본 제어의 정상·경계·오류·복구 경로가 Sequence/Driver에 연결되고, 설정 재로딩·로그·시험증빙으로 원문 상세 요구를 충족한다.</x:v>
      </x:c>
      <x:c r="J23" s="83" t="str">
        <x:v>WPF Manual, Motion/Scanner/Vision Adapter, Manual Script/Setting</x:v>
      </x:c>
      <x:c r="K23" s="83" t="str">
        <x:v>구동부 기본 제어의 정상·경계·오류·복구 경로가 Sequence/Driver에 연결되고, 설정 재로딩·로그·시험증빙으로 원문 상세 요구를 충족한다.</x:v>
      </x:c>
      <x:c r="L23" s="83" t="str">
        <x:v>6, 19, 25, 83</x:v>
      </x:c>
      <x:c r="M23" s="83" t="str">
        <x:v>E-UI-MANUAL, E-UI-MONITOR, E-XPS</x:v>
      </x:c>
      <x:c r="N23" s="84" t="n">
        <x:v>0.72</x:v>
      </x:c>
      <x:c r="O23" s="83" t="str">
        <x:v>부분 반영</x:v>
      </x:c>
      <x:c r="P23" s="83" t="str">
        <x:v>일부 구현은 확인되나 실장비 연동, Timeout/Alarm/Recovery, 저장·복원 또는 고객 수용시험 증빙이 부족</x:v>
      </x:c>
      <x:c r="Q23" s="83" t="str">
        <x:v>06-01</x:v>
      </x:c>
      <x:c r="R23" s="83" t="str">
        <x:v>26' 10월 1주</x:v>
      </x:c>
      <x:c r="S23" s="83" t="str">
        <x:v>코드 회귀→통신/Sequence 오류주입→실장비 수용시험</x:v>
      </x:c>
      <x:c r="T23" s="83" t="str">
        <x:f>IF(COUNTIF($C$6:$C$56,C23)=1,"정상","중복")</x:f>
        <x:v>정상</x:v>
      </x:c>
      <x:c r="U23" s="83" t="str">
        <x:f>IF(Q23&lt;&gt;"","연결","누락")</x:f>
        <x:v>연결</x:v>
      </x:c>
    </x:row>
    <x:row r="24" ht="42" customHeight="1">
      <x:c r="A24" s="83" t="n">
        <x:v>19</x:v>
      </x:c>
      <x:c r="B24" s="83" t="str">
        <x:v>3.2 수동 제어 및 유지보수 
(Manual &amp; Maintenance)</x:v>
      </x:c>
      <x:c r="C24" s="83" t="str">
        <x:v>MM-003</x:v>
      </x:c>
      <x:c r="D24" s="83" t="str">
        <x:v>Task 및 서보 리셋</x:v>
      </x:c>
      <x:c r="E24" s="83" t="str">
        <x:v>· Task 상태 모니터링
· 서보 에러 및 MOF 설정 Reset 기능</x:v>
      </x:c>
      <x:c r="F24" s="83" t="str"/>
      <x:c r="G24" s="83" t="str"/>
      <x:c r="H24" s="83" t="str">
        <x:v>SDC 의견수렴</x:v>
      </x:c>
      <x:c r="I24" s="83" t="str">
        <x:v>[MM-003] Task 및 서보 리셋: · Task 상태 모니터링
· 서보 에러 및 MOF 설정 Reset 기능 / 입력·상태·오류·복구·저장·검증 조건을 명시하여 Task 및 서보 리셋의 정상·경계·오류·복구 경로가 Sequence/Driver에 연결되고, 설정 재로딩·로그·시험증빙으로 원문 상세 요구를 충족한다.</x:v>
      </x:c>
      <x:c r="J24" s="83" t="str">
        <x:v>WPF Manual, Motion/Scanner/Vision Adapter, Manual Script/Setting</x:v>
      </x:c>
      <x:c r="K24" s="83" t="str">
        <x:v>Task 및 서보 리셋의 정상·경계·오류·복구 경로가 Sequence/Driver에 연결되고, 설정 재로딩·로그·시험증빙으로 원문 상세 요구를 충족한다.</x:v>
      </x:c>
      <x:c r="L24" s="83" t="str">
        <x:v>27, 34, 59, 60, 61, 62</x:v>
      </x:c>
      <x:c r="M24" s="83" t="str">
        <x:v>E-PICO, E-AUTOMATION, E-SEQUENCE-STOP</x:v>
      </x:c>
      <x:c r="N24" s="84" t="n">
        <x:v>0.75</x:v>
      </x:c>
      <x:c r="O24" s="83" t="str">
        <x:v>부분 반영</x:v>
      </x:c>
      <x:c r="P24" s="83" t="str">
        <x:v>일부 구현은 확인되나 실장비 연동, Timeout/Alarm/Recovery, 저장·복원 또는 고객 수용시험 증빙이 부족</x:v>
      </x:c>
      <x:c r="Q24" s="83" t="str">
        <x:v>05-04, 06-01</x:v>
      </x:c>
      <x:c r="R24" s="83" t="str">
        <x:v>26' 11월 3주</x:v>
      </x:c>
      <x:c r="S24" s="83" t="str">
        <x:v>코드 회귀→통신/Sequence 오류주입→실장비 수용시험</x:v>
      </x:c>
      <x:c r="T24" s="83" t="str">
        <x:f>IF(COUNTIF($C$6:$C$56,C24)=1,"정상","중복")</x:f>
        <x:v>정상</x:v>
      </x:c>
      <x:c r="U24" s="83" t="str">
        <x:f>IF(Q24&lt;&gt;"","연결","누락")</x:f>
        <x:v>연결</x:v>
      </x:c>
    </x:row>
    <x:row r="25" ht="42" customHeight="1">
      <x:c r="A25" s="83" t="n">
        <x:v>20</x:v>
      </x:c>
      <x:c r="B25" s="83" t="str">
        <x:v>3.2 수동 제어 및 유지보수 
(Manual &amp; Maintenance)</x:v>
      </x:c>
      <x:c r="C25" s="83" t="str">
        <x:v>MM-004</x:v>
      </x:c>
      <x:c r="D25" s="83" t="str">
        <x:v>매뉴얼 가공 조건 설정</x:v>
      </x:c>
      <x:c r="E25" s="83" t="str">
        <x:v>· 가공 형상 (십자가, 원형, X 자, 사각형, Grid) 선택
· 크기/Pitch/반복 횟수 입력
· Head 선택, Laser 조건 세팅</x:v>
      </x:c>
      <x:c r="F25" s="83" t="str"/>
      <x:c r="G25" s="83" t="str">
        <x:v>Spot구조로 연속 가공 시 라인 형성.</x:v>
      </x:c>
      <x:c r="H25" s="83" t="str">
        <x:v>SDC 의견수렴</x:v>
      </x:c>
      <x:c r="I25" s="83" t="str">
        <x:v>[MM-004] 매뉴얼 가공 조건 설정: · 가공 형상 (십자가, 원형, X 자, 사각형, Grid) 선택
· 크기/Pitch/반복 횟수 입력
· Head 선택, Laser 조건 세팅 / 입력·상태·오류·복구·저장·검증 조건을 명시하여 매뉴얼 가공 조건 설정의 정상·경계·오류·복구 경로가 Sequence/Driver에 연결되고, 설정 재로딩·로그·시험증빙으로 원문 상세 요구를 충족한다.</x:v>
      </x:c>
      <x:c r="J25" s="83" t="str">
        <x:v>WPF Manual, Motion/Scanner/Vision Adapter, Manual Script/Setting</x:v>
      </x:c>
      <x:c r="K25" s="83" t="str">
        <x:v>매뉴얼 가공 조건 설정의 정상·경계·오류·복구 경로가 Sequence/Driver에 연결되고, 설정 재로딩·로그·시험증빙으로 원문 상세 요구를 충족한다.</x:v>
      </x:c>
      <x:c r="L25" s="83" t="str">
        <x:v>5, 77, 78, 79, 80, 81, 82</x:v>
      </x:c>
      <x:c r="M25" s="83" t="str">
        <x:v>E-UI-MANUAL</x:v>
      </x:c>
      <x:c r="N25" s="84" t="n">
        <x:v>0.76</x:v>
      </x:c>
      <x:c r="O25" s="83" t="str">
        <x:v>부분 반영</x:v>
      </x:c>
      <x:c r="P25" s="83" t="str">
        <x:v>일부 구현은 확인되나 실장비 연동, Timeout/Alarm/Recovery, 저장·복원 또는 고객 수용시험 증빙이 부족</x:v>
      </x:c>
      <x:c r="Q25" s="83" t="str">
        <x:v>06-02</x:v>
      </x:c>
      <x:c r="R25" s="83" t="str">
        <x:v>26' 10월 3주</x:v>
      </x:c>
      <x:c r="S25" s="83" t="str">
        <x:v>코드 회귀→통신/Sequence 오류주입→실장비 수용시험</x:v>
      </x:c>
      <x:c r="T25" s="83" t="str">
        <x:f>IF(COUNTIF($C$6:$C$56,C25)=1,"정상","중복")</x:f>
        <x:v>정상</x:v>
      </x:c>
      <x:c r="U25" s="83" t="str">
        <x:f>IF(Q25&lt;&gt;"","연결","누락")</x:f>
        <x:v>연결</x:v>
      </x:c>
    </x:row>
    <x:row r="26" ht="42" customHeight="1">
      <x:c r="A26" s="83" t="n">
        <x:v>21</x:v>
      </x:c>
      <x:c r="B26" s="83" t="str">
        <x:v>3.2 수동 제어 및 유지보수 
(Manual &amp; Maintenance)</x:v>
      </x:c>
      <x:c r="C26" s="83" t="str">
        <x:v>MM-005</x:v>
      </x:c>
      <x:c r="D26" s="83" t="str">
        <x:v>TEG 가공 관리</x:v>
      </x:c>
      <x:c r="E26" s="83" t="str">
        <x:v>· TEG 가공 위치 정보 저장
· Offset 적용, 유무 개별 세팅 및 매뉴얼 가공 실행</x:v>
      </x:c>
      <x:c r="F26" s="83" t="str">
        <x:v>TEG 가공의미</x:v>
      </x:c>
      <x:c r="G26" s="83" t="str">
        <x:v>TEG 가공은 별도 기능으로 분리하여 구현하며 Step 가공 가능. 좌표 정보는 얼라인 키 기준으로 TEG 가공 위치 센터 측정. 레시피마다 개별 준비 필요하며 기판마다 다름 (즉, 별도 TEG 레시피 필요). 모델마다 다를 수 있고 항상 발생하지는 않으므로 매뉴얼에서만 관리 (상위 관리 레시피 아님). 가공 후 비전 확인 필수. 전극 모양은 동일하나 주변은 다를 수 있으며, 보조전극이 다른 위치에 하나 더 있는 개념임.</x:v>
      </x:c>
      <x:c r="H26" s="83" t="str">
        <x:v>+ 오토 시퀀스 최하단에 추가하여 옵션별로 진행 (TACT 미반영 예외 가공이므로 MOF 불가)
+ 기판 단변 끝 얼라인 카메라 4개 영역의 TEG에 STEP 방식으로 가공</x:v>
      </x:c>
      <x:c r="I26" s="83" t="str">
        <x:v>[MM-005] TEG 가공 관리: · TEG 가공 위치 정보 저장
· Offset 적용, 유무 개별 세팅 및 매뉴얼 가공 실행 / 입력·상태·오류·복구·저장·검증 조건을 명시하여 TEG 전용 Recipe/위치/Offset을 저장하고 4개 Align Camera 영역에서 STEP 가공 후 Vision 확인 결과를 저장한다.</x:v>
      </x:c>
      <x:c r="J26" s="83" t="str">
        <x:v>WPF Manual, Motion/Scanner/Vision Adapter, Manual Script/Setting</x:v>
      </x:c>
      <x:c r="K26" s="83" t="str">
        <x:v>TEG 전용 Recipe/위치/Offset을 저장하고 4개 Align Camera 영역에서 STEP 가공 후 Vision 확인 결과를 저장한다.</x:v>
      </x:c>
      <x:c r="L26" s="83" t="str">
        <x:v>44, 78, 79, 80, 81, 82</x:v>
      </x:c>
      <x:c r="M26" s="83" t="str">
        <x:v>E-UI-MANUAL</x:v>
      </x:c>
      <x:c r="N26" s="84" t="n">
        <x:v>0.76</x:v>
      </x:c>
      <x:c r="O26" s="83" t="str">
        <x:v>미반영</x:v>
      </x:c>
      <x:c r="P26" s="83" t="str">
        <x:v>전용 Driver/Sequence/UI/데이터 모델의 직접 구현 근거가 없어 신규 구현과 단위·통합·실장비 시험이 필요</x:v>
      </x:c>
      <x:c r="Q26" s="83" t="str">
        <x:v>06-03</x:v>
      </x:c>
      <x:c r="R26" s="83" t="str">
        <x:v>26' 11월 4주</x:v>
      </x:c>
      <x:c r="S26" s="83" t="str">
        <x:v>신규 단위시험→통합시험→실장비 Witness</x:v>
      </x:c>
      <x:c r="T26" s="83" t="str">
        <x:f>IF(COUNTIF($C$6:$C$56,C26)=1,"정상","중복")</x:f>
        <x:v>정상</x:v>
      </x:c>
      <x:c r="U26" s="83" t="str">
        <x:f>IF(Q26&lt;&gt;"","연결","누락")</x:f>
        <x:v>연결</x:v>
      </x:c>
    </x:row>
    <x:row r="27" ht="42" customHeight="1">
      <x:c r="A27" s="83" t="n">
        <x:v>22</x:v>
      </x:c>
      <x:c r="B27" s="83" t="str">
        <x:v>3.2 수동 제어 및 유지보수 
(Manual &amp; Maintenance)</x:v>
      </x:c>
      <x:c r="C27" s="83" t="str">
        <x:v>MM-006</x:v>
      </x:c>
      <x:c r="D27" s="83" t="str">
        <x:v>분기법 측정 (수동)</x:v>
      </x:c>
      <x:c r="E27" s="83" t="str">
        <x:v>· 측정 기준 위치 입력, 분기법 자동 이동 측정 수행, 측정 Data 분석 기능 제공</x:v>
      </x:c>
      <x:c r="F27" s="83" t="str">
        <x:v>내용설명요청</x:v>
      </x:c>
      <x:c r="G27" s="83" t="str">
        <x:v>위치 사양 및 셋업은 필옵틱스 담당 (ESC 평탄도에 영향 받음). 기판 특정 영역을 분기빔으로 측정하며, 측정은 IPS가 수행하고 결과 확인 및 데이터 활용은 필옵틱스에서 진행.</x:v>
      </x:c>
      <x:c r="H27" s="83" t="str">
        <x:v>+ 리뷰 측정 시 빔 번호 설정 가능 (16개 빔 중 11번 위주 고정, 변경 가능한 체크박스 필요)
+ 가공 SW에서 16개 빔을 모두 측정할 수 있어야 하며, 사용자가 사용할 빔을 선택 가능해야 함
+ 디스토션 측정: 대각선으로 1, 11, 16번을 촬영하여 리뷰 시 광학계 및 ESC 틀어짐 확인 (정밀도 산출 목적)
+ 자동 이동 기능이 있으나 16개를 전수 측정하는 리뷰 좌표는 시간이 오래 걸려 현재는 없음
&gt; 검사 방식 (3줄 / 1줄)
+ 3줄 검사: 한 라인에 셀이 3개인 경우 (끝, 가운데, 끝). 맨 끝의 라운드 영역은 회피하여 측정하며, 보정 필요 시 지그재그로 촬영. 오토 모드에서는 3줄만 찍고 측정한 데이터만 보정함 (가공 안 한 영역은 레시피 기준으로 회피)
+ 전셀 1줄: 각 셀의 중앙 기준, 런 진행 시 11번 빔 기준 측정
+ 그냥 1줄: 매 기판 0선 방어 후 TACT 여유 시 측정 (옵션 On/Off)
+ 순환 1줄: 한 라인의 셀들을 한 방향(M&gt;S)으로 돌아가면서 측정</x:v>
      </x:c>
      <x:c r="I27" s="83" t="str">
        <x:v>[MM-006] 분기법 측정 (수동): · 측정 기준 위치 입력, 분기법 자동 이동 측정 수행, 측정 Data 분석 기능 제공 / 입력·상태·오류·복구·저장·검증 조건을 명시하여 DOE 16 Branch 전부를 선택 측정할 수 있고 Review 기준 Branch·3줄/1줄 규칙·분석 결과가 재현된다.</x:v>
      </x:c>
      <x:c r="J27" s="83" t="str">
        <x:v>WPF Manual, Motion/Scanner/Vision Adapter, Manual Script/Setting</x:v>
      </x:c>
      <x:c r="K27" s="83" t="str">
        <x:v>DOE 16 Branch 전부를 선택 측정할 수 있고 Review 기준 Branch·3줄/1줄 규칙·분석 결과가 재현된다.</x:v>
      </x:c>
      <x:c r="L27" s="83" t="str">
        <x:v>55, 89, 90, 113</x:v>
      </x:c>
      <x:c r="M27" s="83" t="str">
        <x:v>E-SEQUENCE, E-REVIEW, E-DISTORTION</x:v>
      </x:c>
      <x:c r="N27" s="84" t="n">
        <x:v>0.77</x:v>
      </x:c>
      <x:c r="O27" s="83" t="str">
        <x:v>유사하나 불충분</x:v>
      </x:c>
      <x:c r="P27" s="83" t="str">
        <x:v>유사 UI/기초 로직은 있으나 고객 대상·조건·데이터·적용방식이 달라 사양확정과 전용 로직·검증이 필요</x:v>
      </x:c>
      <x:c r="Q27" s="83" t="str">
        <x:v>07-08, 07-04</x:v>
      </x:c>
      <x:c r="R27" s="83" t="str">
        <x:v>26' 11월 4주</x:v>
      </x:c>
      <x:c r="S27" s="83" t="str">
        <x:v>코드 회귀→통신/Sequence 오류주입→실장비 수용시험</x:v>
      </x:c>
      <x:c r="T27" s="83" t="str">
        <x:f>IF(COUNTIF($C$6:$C$56,C27)=1,"정상","중복")</x:f>
        <x:v>정상</x:v>
      </x:c>
      <x:c r="U27" s="83" t="str">
        <x:f>IF(Q27&lt;&gt;"","연결","누락")</x:f>
        <x:v>연결</x:v>
      </x:c>
    </x:row>
    <x:row r="28" ht="42" customHeight="1">
      <x:c r="A28" s="83" t="n">
        <x:v>23</x:v>
      </x:c>
      <x:c r="B28" s="83" t="str">
        <x:v>3.2 수동 제어 및 유지보수 
(Manual &amp; Maintenance)</x:v>
      </x:c>
      <x:c r="C28" s="83" t="str">
        <x:v>MM-007</x:v>
      </x:c>
      <x:c r="D28" s="83" t="str">
        <x:v>MOF 위치 모니터링</x:v>
      </x:c>
      <x:c r="E28" s="83" t="str">
        <x:v>· Stage 및 Review 의 현재 위치 정보 실시간 모니터링</x:v>
      </x:c>
      <x:c r="F28" s="83" t="str"/>
      <x:c r="G28" s="83" t="str"/>
      <x:c r="H28" s="83" t="str">
        <x:v>SDC 의견수렴</x:v>
      </x:c>
      <x:c r="I28" s="83" t="str">
        <x:v>[MM-007] MOF 위치 모니터링: · Stage 및 Review 의 현재 위치 정보 실시간 모니터링 / 입력·상태·오류·복구·저장·검증 조건을 명시하여 MOF 위치 모니터링의 정상·경계·오류·복구 경로가 Sequence/Driver에 연결되고, 설정 재로딩·로그·시험증빙으로 원문 상세 요구를 충족한다.</x:v>
      </x:c>
      <x:c r="J28" s="83" t="str">
        <x:v>WPF Manual, Motion/Scanner/Vision Adapter, Manual Script/Setting</x:v>
      </x:c>
      <x:c r="K28" s="83" t="str">
        <x:v>MOF 위치 모니터링의 정상·경계·오류·복구 경로가 Sequence/Driver에 연결되고, 설정 재로딩·로그·시험증빙으로 원문 상세 요구를 충족한다.</x:v>
      </x:c>
      <x:c r="L28" s="83" t="str">
        <x:v>6, 7, 17, 83, 84</x:v>
      </x:c>
      <x:c r="M28" s="83" t="str">
        <x:v>E-UI-MANUAL, E-UI-MONITOR</x:v>
      </x:c>
      <x:c r="N28" s="84" t="n">
        <x:v>0.77</x:v>
      </x:c>
      <x:c r="O28" s="83" t="str">
        <x:v>부분 반영</x:v>
      </x:c>
      <x:c r="P28" s="83" t="str">
        <x:v>일부 구현은 확인되나 실장비 연동, Timeout/Alarm/Recovery, 저장·복원 또는 고객 수용시험 증빙이 부족</x:v>
      </x:c>
      <x:c r="Q28" s="83" t="str">
        <x:v>06-04</x:v>
      </x:c>
      <x:c r="R28" s="83" t="str">
        <x:v>26' 11월 2주</x:v>
      </x:c>
      <x:c r="S28" s="83" t="str">
        <x:v>코드 회귀→통신/Sequence 오류주입→실장비 수용시험</x:v>
      </x:c>
      <x:c r="T28" s="83" t="str">
        <x:f>IF(COUNTIF($C$6:$C$56,C28)=1,"정상","중복")</x:f>
        <x:v>정상</x:v>
      </x:c>
      <x:c r="U28" s="83" t="str">
        <x:f>IF(Q28&lt;&gt;"","연결","누락")</x:f>
        <x:v>연결</x:v>
      </x:c>
    </x:row>
    <x:row r="29" ht="42" customHeight="1">
      <x:c r="A29" s="83" t="n">
        <x:v>24</x:v>
      </x:c>
      <x:c r="B29" s="83" t="str">
        <x:v>3.2 수동 제어 및 유지보수 
(Manual &amp; Maintenance)</x:v>
      </x:c>
      <x:c r="C29" s="83" t="str">
        <x:v>MM-008</x:v>
      </x:c>
      <x:c r="D29" s="83" t="str">
        <x:v>MOF 모션 제어</x:v>
      </x:c>
      <x:c r="E29" s="83" t="str">
        <x:v>· Stage/Review 에 대한 상대/절대 이동 모션 제어 및 매뉴얼 MOF 가공 실행</x:v>
      </x:c>
      <x:c r="F29" s="83" t="str">
        <x:v>메뉴얼 MOF 가공에 대한 가공조건</x:v>
      </x:c>
      <x:c r="G29" s="83" t="str"/>
      <x:c r="H29" s="83" t="str">
        <x:v>SDC 의견수렴</x:v>
      </x:c>
      <x:c r="I29" s="83" t="str">
        <x:v>[MM-008] MOF 모션 제어: · Stage/Review 에 대한 상대/절대 이동 모션 제어 및 매뉴얼 MOF 가공 실행 / 입력·상태·오류·복구·저장·검증 조건을 명시하여 MOF 모션 제어의 정상·경계·오류·복구 경로가 Sequence/Driver에 연결되고, 설정 재로딩·로그·시험증빙으로 원문 상세 요구를 충족한다.</x:v>
      </x:c>
      <x:c r="J29" s="83" t="str">
        <x:v>WPF Manual, Motion/Scanner/Vision Adapter, Manual Script/Setting</x:v>
      </x:c>
      <x:c r="K29" s="83" t="str">
        <x:v>MOF 모션 제어의 정상·경계·오류·복구 경로가 Sequence/Driver에 연결되고, 설정 재로딩·로그·시험증빙으로 원문 상세 요구를 충족한다.</x:v>
      </x:c>
      <x:c r="L29" s="83" t="str">
        <x:v>6, 7, 25, 83, 84</x:v>
      </x:c>
      <x:c r="M29" s="83" t="str">
        <x:v>E-UI-MANUAL, E-XPS</x:v>
      </x:c>
      <x:c r="N29" s="84" t="n">
        <x:v>0.69</x:v>
      </x:c>
      <x:c r="O29" s="83" t="str">
        <x:v>부분 반영</x:v>
      </x:c>
      <x:c r="P29" s="83" t="str">
        <x:v>일부 구현은 확인되나 실장비 연동, Timeout/Alarm/Recovery, 저장·복원 또는 고객 수용시험 증빙이 부족</x:v>
      </x:c>
      <x:c r="Q29" s="83" t="str">
        <x:v>06-04</x:v>
      </x:c>
      <x:c r="R29" s="83" t="str">
        <x:v>26' 11월 2주</x:v>
      </x:c>
      <x:c r="S29" s="83" t="str">
        <x:v>코드 회귀→통신/Sequence 오류주입→실장비 수용시험</x:v>
      </x:c>
      <x:c r="T29" s="83" t="str">
        <x:f>IF(COUNTIF($C$6:$C$56,C29)=1,"정상","중복")</x:f>
        <x:v>정상</x:v>
      </x:c>
      <x:c r="U29" s="83" t="str">
        <x:f>IF(Q29&lt;&gt;"","연결","누락")</x:f>
        <x:v>연결</x:v>
      </x:c>
    </x:row>
    <x:row r="30" ht="42" customHeight="1">
      <x:c r="A30" s="83" t="n">
        <x:v>25</x:v>
      </x:c>
      <x:c r="B30" s="83" t="str">
        <x:v>3.2 수동 제어 및 유지보수 
(Manual &amp; Maintenance)</x:v>
      </x:c>
      <x:c r="C30" s="83" t="str">
        <x:v>MM-009</x:v>
      </x:c>
      <x:c r="D30" s="83" t="str">
        <x:v>MOF 대상 Head 선택</x:v>
      </x:c>
      <x:c r="E30" s="83" t="str">
        <x:v>· MOF 가공을 수행할 대상 Head 선택 기능</x:v>
      </x:c>
      <x:c r="F30" s="83" t="str">
        <x:v>메뉴얼 MOF 가공에 대한 가공조건</x:v>
      </x:c>
      <x:c r="G30" s="83" t="str"/>
      <x:c r="H30" s="83" t="str">
        <x:v>SDC 의견수렴</x:v>
      </x:c>
      <x:c r="I30" s="83" t="str">
        <x:v>[MM-009] MOF 대상 Head 선택: · MOF 가공을 수행할 대상 Head 선택 기능 / 입력·상태·오류·복구·저장·검증 조건을 명시하여 MOF 대상 Head 선택의 정상·경계·오류·복구 경로가 Sequence/Driver에 연결되고, 설정 재로딩·로그·시험증빙으로 원문 상세 요구를 충족한다.</x:v>
      </x:c>
      <x:c r="J30" s="83" t="str">
        <x:v>WPF Manual, Motion/Scanner/Vision Adapter, Manual Script/Setting</x:v>
      </x:c>
      <x:c r="K30" s="83" t="str">
        <x:v>MOF 대상 Head 선택의 정상·경계·오류·복구 경로가 Sequence/Driver에 연결되고, 설정 재로딩·로그·시험증빙으로 원문 상세 요구를 충족한다.</x:v>
      </x:c>
      <x:c r="L30" s="83" t="str">
        <x:v>5, 77</x:v>
      </x:c>
      <x:c r="M30" s="83" t="str">
        <x:v>E-UI-MANUAL</x:v>
      </x:c>
      <x:c r="N30" s="84" t="n">
        <x:v>0.76</x:v>
      </x:c>
      <x:c r="O30" s="83" t="str">
        <x:v>부분 반영</x:v>
      </x:c>
      <x:c r="P30" s="83" t="str">
        <x:v>일부 구현은 확인되나 실장비 연동, Timeout/Alarm/Recovery, 저장·복원 또는 고객 수용시험 증빙이 부족</x:v>
      </x:c>
      <x:c r="Q30" s="83" t="str">
        <x:v>08-08</x:v>
      </x:c>
      <x:c r="R30" s="83" t="str">
        <x:v>26' 11월 4주</x:v>
      </x:c>
      <x:c r="S30" s="83" t="str">
        <x:v>코드 회귀→통신/Sequence 오류주입→실장비 수용시험</x:v>
      </x:c>
      <x:c r="T30" s="83" t="str">
        <x:f>IF(COUNTIF($C$6:$C$56,C30)=1,"정상","중복")</x:f>
        <x:v>정상</x:v>
      </x:c>
      <x:c r="U30" s="83" t="str">
        <x:f>IF(Q30&lt;&gt;"","연결","누락")</x:f>
        <x:v>연결</x:v>
      </x:c>
    </x:row>
    <x:row r="31" ht="42" customHeight="1">
      <x:c r="A31" s="83" t="n">
        <x:v>26</x:v>
      </x:c>
      <x:c r="B31" s="83" t="str">
        <x:v>3.3 레시피 및 데이터 관리 
(Recipe &amp; Data Management)</x:v>
      </x:c>
      <x:c r="C31" s="83" t="str">
        <x:v>RD-001</x:v>
      </x:c>
      <x:c r="D31" s="83" t="str">
        <x:v>Recipe 리스트 관리</x:v>
      </x:c>
      <x:c r="E31" s="83" t="str">
        <x:v>· Recipe 생성, 복사, 삭제 기능 제공</x:v>
      </x:c>
      <x:c r="F31" s="83" t="str"/>
      <x:c r="G31" s="83" t="str"/>
      <x:c r="H31" s="83" t="str">
        <x:v>+ 레시피 파일만 복사할지, 보정 데이터를 포함할지 선택 옵션 제공</x:v>
      </x:c>
      <x:c r="I31" s="83" t="str">
        <x:v>[RD-001] Recipe 리스트 관리: · Recipe 생성, 복사, 삭제 기능 제공 / 입력·상태·오류·복구·저장·검증 조건을 명시하여 Recipe 생성/복사/삭제가 동작하며 복사 시 Recipe만 또는 보정데이터 포함을 선택하고 변경 이력이 남는다.</x:v>
      </x:c>
      <x:c r="J31" s="83" t="str">
        <x:v>Recipe Manager, CSV Repository, Product/PPID Model, Change Log</x:v>
      </x:c>
      <x:c r="K31" s="83" t="str">
        <x:v>Recipe 생성/복사/삭제가 동작하며 복사 시 Recipe만 또는 보정데이터 포함을 선택하고 변경 이력이 남는다.</x:v>
      </x:c>
      <x:c r="L31" s="83" t="str">
        <x:v>8, 93, 95</x:v>
      </x:c>
      <x:c r="M31" s="83" t="str">
        <x:v>E-UI-RECIPE, E-RECIPE-FILE</x:v>
      </x:c>
      <x:c r="N31" s="84" t="n">
        <x:v>0.86</x:v>
      </x:c>
      <x:c r="O31" s="83" t="str">
        <x:v>부분 반영</x:v>
      </x:c>
      <x:c r="P31" s="83" t="str">
        <x:v>일부 구현은 확인되나 실장비 연동, Timeout/Alarm/Recovery, 저장·복원 또는 고객 수용시험 증빙이 부족</x:v>
      </x:c>
      <x:c r="Q31" s="83" t="str">
        <x:v>04-01</x:v>
      </x:c>
      <x:c r="R31" s="83" t="str">
        <x:v>26' 9월 3주</x:v>
      </x:c>
      <x:c r="S31" s="83" t="str">
        <x:v>코드 회귀→통신/Sequence 오류주입→실장비 수용시험</x:v>
      </x:c>
      <x:c r="T31" s="83" t="str">
        <x:f>IF(COUNTIF($C$6:$C$56,C31)=1,"정상","중복")</x:f>
        <x:v>정상</x:v>
      </x:c>
      <x:c r="U31" s="83" t="str">
        <x:f>IF(Q31&lt;&gt;"","연결","누락")</x:f>
        <x:v>연결</x:v>
      </x:c>
    </x:row>
    <x:row r="32" ht="42" customHeight="1">
      <x:c r="A32" s="83" t="n">
        <x:v>27</x:v>
      </x:c>
      <x:c r="B32" s="83" t="str">
        <x:v>3.3 레시피 및 데이터 관리 
(Recipe &amp; Data Management)</x:v>
      </x:c>
      <x:c r="C32" s="83" t="str">
        <x:v>RD-002</x:v>
      </x:c>
      <x:c r="D32" s="83" t="str">
        <x:v>공통 Recipe 데이터 입력</x:v>
      </x:c>
      <x:c r="E32" s="83" t="str">
        <x:v>· 공통정보, 코너 및 Camera Hole Masking 정보 입력</x:v>
      </x:c>
      <x:c r="F32" s="83" t="str">
        <x:v>내용 설명요청</x:v>
      </x:c>
      <x:c r="G32" s="83" t="str">
        <x:v>스마트폰 카메라 위치 및 라운드 부위는 가공 제외 영역. 분기빔은 사각형 빔 형태이므로 라운드 부위는 가공 불가.</x:v>
      </x:c>
      <x:c r="H32" s="83" t="str">
        <x:v>SDC 의견수렴</x:v>
      </x:c>
      <x:c r="I32" s="83" t="str">
        <x:v>[RD-002] 공통 Recipe 데이터 입력: · 공통정보, 코너 및 Camera Hole Masking 정보 입력 / 입력·상태·오류·복구·저장·검증 조건을 명시하여 공통 Recipe 데이터 입력의 정상·경계·오류·복구 경로가 Sequence/Driver에 연결되고, 설정 재로딩·로그·시험증빙으로 원문 상세 요구를 충족한다.</x:v>
      </x:c>
      <x:c r="J32" s="83" t="str">
        <x:v>Recipe Manager, CSV Repository, Product/PPID Model, Change Log</x:v>
      </x:c>
      <x:c r="K32" s="83" t="str">
        <x:v>공통 Recipe 데이터 입력의 정상·경계·오류·복구 경로가 Sequence/Driver에 연결되고, 설정 재로딩·로그·시험증빙으로 원문 상세 요구를 충족한다.</x:v>
      </x:c>
      <x:c r="L32" s="83" t="str">
        <x:v>9, 94, 98</x:v>
      </x:c>
      <x:c r="M32" s="83" t="str">
        <x:v>E-UI-RECIPE, E-RECIPE-FILE</x:v>
      </x:c>
      <x:c r="N32" s="84" t="n">
        <x:v>0.86</x:v>
      </x:c>
      <x:c r="O32" s="83" t="str">
        <x:v>부분 반영</x:v>
      </x:c>
      <x:c r="P32" s="83" t="str">
        <x:v>일부 구현은 확인되나 실장비 연동, Timeout/Alarm/Recovery, 저장·복원 또는 고객 수용시험 증빙이 부족</x:v>
      </x:c>
      <x:c r="Q32" s="83" t="str">
        <x:v>04-02</x:v>
      </x:c>
      <x:c r="R32" s="83" t="str">
        <x:v>26' 10월 3주</x:v>
      </x:c>
      <x:c r="S32" s="83" t="str">
        <x:v>코드 회귀→통신/Sequence 오류주입→실장비 수용시험</x:v>
      </x:c>
      <x:c r="T32" s="83" t="str">
        <x:f>IF(COUNTIF($C$6:$C$56,C32)=1,"정상","중복")</x:f>
        <x:v>정상</x:v>
      </x:c>
      <x:c r="U32" s="83" t="str">
        <x:f>IF(Q32&lt;&gt;"","연결","누락")</x:f>
        <x:v>연결</x:v>
      </x:c>
    </x:row>
    <x:row r="33" ht="42" customHeight="1">
      <x:c r="A33" s="83" t="n">
        <x:v>28</x:v>
      </x:c>
      <x:c r="B33" s="83" t="str">
        <x:v>3.3 레시피 및 데이터 관리 
(Recipe &amp; Data Management)</x:v>
      </x:c>
      <x:c r="C33" s="83" t="str">
        <x:v>RD-003</x:v>
      </x:c>
      <x:c r="D33" s="83" t="str">
        <x:v>Cell 별 Recipe 파라미터 입력</x:v>
      </x:c>
      <x:c r="E33" s="83" t="str">
        <x:v>· Align to Cell 가공 시작 위치, Roataion, shift offset</x:v>
      </x:c>
      <x:c r="F33" s="83" t="str">
        <x:v>특정 Cell에 한해서 좌표위치를 바꾸는 목적인지</x:v>
      </x:c>
      <x:c r="G33" s="83" t="str">
        <x:v>특정 셀 및 헤드별 독립적인 쉬프트 기능 필요. 전체 셀 대상으로 셋업 및 평가를 위해 가공 안된 보조전극을 찾아 가공 후 검사 진행. 기판 1매로 미가공된 부분을 찾아 반복 평가 시 필요한 기능이며, 양산운영용은 아님 (평소 0 입력, 매뉴얼 평가 시에만 사용). 특정 기능을 통해 연관 항목 일괄 변경 지원 필요</x:v>
      </x:c>
      <x:c r="H33" s="83" t="str">
        <x:v>SDC 의견수렴</x:v>
      </x:c>
      <x:c r="I33" s="83" t="str">
        <x:v>[RD-003] Cell 별 Recipe 파라미터 입력: · Align to Cell 가공 시작 위치, Roataion, shift offset / 입력·상태·오류·복구·저장·검증 조건을 명시하여 Cell 별 Recipe 파라미터 입력의 정상·경계·오류·복구 경로가 Sequence/Driver에 연결되고, 설정 재로딩·로그·시험증빙으로 원문 상세 요구를 충족한다.</x:v>
      </x:c>
      <x:c r="J33" s="83" t="str">
        <x:v>Recipe Manager, CSV Repository, Product/PPID Model, Change Log</x:v>
      </x:c>
      <x:c r="K33" s="83" t="str">
        <x:v>Cell 별 Recipe 파라미터 입력의 정상·경계·오류·복구 경로가 Sequence/Driver에 연결되고, 설정 재로딩·로그·시험증빙으로 원문 상세 요구를 충족한다.</x:v>
      </x:c>
      <x:c r="L33" s="83" t="str">
        <x:v>9, 94, 95, 96, 97, 98, 99, 117</x:v>
      </x:c>
      <x:c r="M33" s="83" t="str">
        <x:v>E-UI-RECIPE, E-RECIPE-FILE, E-COORD</x:v>
      </x:c>
      <x:c r="N33" s="84" t="n">
        <x:v>0.83</x:v>
      </x:c>
      <x:c r="O33" s="83" t="str">
        <x:v>부분 반영</x:v>
      </x:c>
      <x:c r="P33" s="83" t="str">
        <x:v>일부 구현은 확인되나 실장비 연동, Timeout/Alarm/Recovery, 저장·복원 또는 고객 수용시험 증빙이 부족</x:v>
      </x:c>
      <x:c r="Q33" s="83" t="str">
        <x:v>04-02, 08-05</x:v>
      </x:c>
      <x:c r="R33" s="83" t="str">
        <x:v>26' 11월 3주</x:v>
      </x:c>
      <x:c r="S33" s="83" t="str">
        <x:v>코드 회귀→통신/Sequence 오류주입→실장비 수용시험</x:v>
      </x:c>
      <x:c r="T33" s="83" t="str">
        <x:f>IF(COUNTIF($C$6:$C$56,C33)=1,"정상","중복")</x:f>
        <x:v>정상</x:v>
      </x:c>
      <x:c r="U33" s="83" t="str">
        <x:f>IF(Q33&lt;&gt;"","연결","누락")</x:f>
        <x:v>연결</x:v>
      </x:c>
    </x:row>
    <x:row r="34" ht="42" customHeight="1">
      <x:c r="A34" s="83" t="n">
        <x:v>29</x:v>
      </x:c>
      <x:c r="B34" s="83" t="str">
        <x:v>3.3 레시피 및 데이터 관리 
(Recipe &amp; Data Management)</x:v>
      </x:c>
      <x:c r="C34" s="83" t="str">
        <x:v>RD-004</x:v>
      </x:c>
      <x:c r="D34" s="83" t="str">
        <x:v>Head 별 Recipe 파라미터 입력</x:v>
      </x:c>
      <x:c r="E34" s="83" t="str">
        <x:v>· shot time
· scanner jump rate, scanner jump speed, scanner jump delay
· DOE Z Position</x:v>
      </x:c>
      <x:c r="F34" s="83" t="str"/>
      <x:c r="G34" s="83" t="str"/>
      <x:c r="H34" s="83" t="str"/>
      <x:c r="I34" s="83" t="str">
        <x:v>[RD-004] Head 별 Recipe 파라미터 입력: · shot time
· scanner jump rate, scanner jump speed, scanner jump delay
· DOE Z Position / 입력·상태·오류·복구·저장·검증 조건을 명시하여 Head 별 Recipe 파라미터 입력의 정상·경계·오류·복구 경로가 Sequence/Driver에 연결되고, 설정 재로딩·로그·시험증빙으로 원문 상세 요구를 충족한다.</x:v>
      </x:c>
      <x:c r="J34" s="83" t="str">
        <x:v>Recipe Manager, CSV Repository, Product/PPID Model, Change Log</x:v>
      </x:c>
      <x:c r="K34" s="83" t="str">
        <x:v>Head 별 Recipe 파라미터 입력의 정상·경계·오류·복구 경로가 Sequence/Driver에 연결되고, 설정 재로딩·로그·시험증빙으로 원문 상세 요구를 충족한다.</x:v>
      </x:c>
      <x:c r="L34" s="83" t="str">
        <x:v>94, 96, 97, 116</x:v>
      </x:c>
      <x:c r="M34" s="83" t="str">
        <x:v>E-RECIPE-FILE, E-SCRIPT</x:v>
      </x:c>
      <x:c r="N34" s="84" t="n">
        <x:v>0.88</x:v>
      </x:c>
      <x:c r="O34" s="83" t="str">
        <x:v>부분 반영</x:v>
      </x:c>
      <x:c r="P34" s="83" t="str">
        <x:v>일부 구현은 확인되나 실장비 연동, Timeout/Alarm/Recovery, 저장·복원 또는 고객 수용시험 증빙이 부족</x:v>
      </x:c>
      <x:c r="Q34" s="83" t="str">
        <x:v>04-02, 09-02</x:v>
      </x:c>
      <x:c r="R34" s="83" t="str">
        <x:v>26' 11월 1주</x:v>
      </x:c>
      <x:c r="S34" s="83" t="str">
        <x:v>코드 회귀→통신/Sequence 오류주입→실장비 수용시험</x:v>
      </x:c>
      <x:c r="T34" s="83" t="str">
        <x:f>IF(COUNTIF($C$6:$C$56,C34)=1,"정상","중복")</x:f>
        <x:v>정상</x:v>
      </x:c>
      <x:c r="U34" s="83" t="str">
        <x:f>IF(Q34&lt;&gt;"","연결","누락")</x:f>
        <x:v>연결</x:v>
      </x:c>
    </x:row>
    <x:row r="35" ht="42" customHeight="1">
      <x:c r="A35" s="83" t="n">
        <x:v>30</x:v>
      </x:c>
      <x:c r="B35" s="83" t="str">
        <x:v>3.3 레시피 및 데이터 관리 
(Recipe &amp; Data Management)</x:v>
      </x:c>
      <x:c r="C35" s="83" t="str">
        <x:v>RD-005</x:v>
      </x:c>
      <x:c r="D35" s="83" t="str">
        <x:v>기준 위치 Shift 반영</x:v>
      </x:c>
      <x:c r="E35" s="83" t="str">
        <x:v>· 전체 또는 Cell 별 가공 기준 위치 Shift 반영 기능</x:v>
      </x:c>
      <x:c r="F35" s="83" t="str">
        <x:v>특정 Cell에 한해서 좌표위치를 바꾸는 목적인지</x:v>
      </x:c>
      <x:c r="G35" s="83" t="str"/>
      <x:c r="H35" s="83" t="str"/>
      <x:c r="I35" s="83" t="str">
        <x:v>[RD-005] 기준 위치 Shift 반영: · 전체 또는 Cell 별 가공 기준 위치 Shift 반영 기능 / 입력·상태·오류·복구·저장·검증 조건을 명시하여 기준 위치 Shift 반영의 정상·경계·오류·복구 경로가 Sequence/Driver에 연결되고, 설정 재로딩·로그·시험증빙으로 원문 상세 요구를 충족한다.</x:v>
      </x:c>
      <x:c r="J35" s="83" t="str">
        <x:v>Recipe Manager, CSV Repository, Product/PPID Model, Change Log</x:v>
      </x:c>
      <x:c r="K35" s="83" t="str">
        <x:v>기준 위치 Shift 반영의 정상·경계·오류·복구 경로가 Sequence/Driver에 연결되고, 설정 재로딩·로그·시험증빙으로 원문 상세 요구를 충족한다.</x:v>
      </x:c>
      <x:c r="L35" s="83" t="str">
        <x:v>88, 92, 95, 97, 99, 117</x:v>
      </x:c>
      <x:c r="M35" s="83" t="str">
        <x:v>E-REVIEW, E-RECIPE-FILE, E-COORD</x:v>
      </x:c>
      <x:c r="N35" s="84" t="n">
        <x:v>0.81</x:v>
      </x:c>
      <x:c r="O35" s="83" t="str">
        <x:v>부분 반영</x:v>
      </x:c>
      <x:c r="P35" s="83" t="str">
        <x:v>일부 구현은 확인되나 실장비 연동, Timeout/Alarm/Recovery, 저장·복원 또는 고객 수용시험 증빙이 부족</x:v>
      </x:c>
      <x:c r="Q35" s="83" t="str">
        <x:v>08-05</x:v>
      </x:c>
      <x:c r="R35" s="83" t="str">
        <x:v>26' 11월 3주</x:v>
      </x:c>
      <x:c r="S35" s="83" t="str">
        <x:v>코드 회귀→통신/Sequence 오류주입→실장비 수용시험</x:v>
      </x:c>
      <x:c r="T35" s="83" t="str">
        <x:f>IF(COUNTIF($C$6:$C$56,C35)=1,"정상","중복")</x:f>
        <x:v>정상</x:v>
      </x:c>
      <x:c r="U35" s="83" t="str">
        <x:f>IF(Q35&lt;&gt;"","연결","누락")</x:f>
        <x:v>연결</x:v>
      </x:c>
    </x:row>
    <x:row r="36" ht="42" customHeight="1">
      <x:c r="A36" s="83" t="n">
        <x:v>31</x:v>
      </x:c>
      <x:c r="B36" s="83" t="str">
        <x:v>3.3 레시피 및 데이터 관리 
(Recipe &amp; Data Management)</x:v>
      </x:c>
      <x:c r="C36" s="83" t="str">
        <x:v>RD-006</x:v>
      </x:c>
      <x:c r="D36" s="83" t="str">
        <x:v>PPID 매칭 (Matching)</x:v>
      </x:c>
      <x:c r="E36" s="83" t="str">
        <x:v>· PPID 와 EQ Recipe 를 매칭하는 기능(수동/자동)
· 매칭 리스트 생성/삭제/저장</x:v>
      </x:c>
      <x:c r="F36" s="83" t="str"/>
      <x:c r="G36" s="83" t="str"/>
      <x:c r="H36" s="83" t="str">
        <x:v>실제 사용 레시피는 1:1 매칭이나, 하나의 EQP에 여러 PPID 매칭 가능</x:v>
      </x:c>
      <x:c r="I36" s="83" t="str">
        <x:v>[RD-006] PPID 매칭 (Matching): · PPID 와 EQ Recipe 를 매칭하는 기능(수동/자동)
· 매칭 리스트 생성/삭제/저장 / 입력·상태·오류·복구·저장·검증 조건을 명시하여 PPID↔EQ Recipe 매칭 목록을 생성/삭제/저장하고 수동·자동 매칭 및 중복/미등록 오류를 검증한다.</x:v>
      </x:c>
      <x:c r="J36" s="83" t="str">
        <x:v>Recipe Manager, CSV Repository, Product/PPID Model, Change Log</x:v>
      </x:c>
      <x:c r="K36" s="83" t="str">
        <x:v>PPID↔EQ Recipe 매칭 목록을 생성/삭제/저장하고 수동·자동 매칭 및 중복/미등록 오류를 검증한다.</x:v>
      </x:c>
      <x:c r="L36" s="83" t="str">
        <x:v>40, 106, 110, 118</x:v>
      </x:c>
      <x:c r="M36" s="83" t="str">
        <x:v>E-RECIPE-FILE, E-PLC, E-NO-CIM, E-NO-JOBCHANGE</x:v>
      </x:c>
      <x:c r="N36" s="84" t="n">
        <x:v>0.47</x:v>
      </x:c>
      <x:c r="O36" s="83" t="str">
        <x:v>유사하나 불충분</x:v>
      </x:c>
      <x:c r="P36" s="83" t="str">
        <x:v>유사 UI/기초 로직은 있으나 고객 대상·조건·데이터·적용방식이 달라 사양확정과 전용 로직·검증이 필요</x:v>
      </x:c>
      <x:c r="Q36" s="83" t="str">
        <x:v>04-03</x:v>
      </x:c>
      <x:c r="R36" s="83" t="str">
        <x:v>26' 11월 1주</x:v>
      </x:c>
      <x:c r="S36" s="83" t="str">
        <x:v>코드 회귀→통신/Sequence 오류주입→실장비 수용시험</x:v>
      </x:c>
      <x:c r="T36" s="83" t="str">
        <x:f>IF(COUNTIF($C$6:$C$56,C36)=1,"정상","중복")</x:f>
        <x:v>정상</x:v>
      </x:c>
      <x:c r="U36" s="83" t="str">
        <x:f>IF(Q36&lt;&gt;"","연결","누락")</x:f>
        <x:v>연결</x:v>
      </x:c>
    </x:row>
    <x:row r="37" ht="42" customHeight="1">
      <x:c r="A37" s="83" t="n">
        <x:v>32</x:v>
      </x:c>
      <x:c r="B37" s="83" t="str">
        <x:v>3.3 레시피 및 데이터 관리 
(Recipe &amp; Data Management)</x:v>
      </x:c>
      <x:c r="C37" s="83" t="str">
        <x:v>RD-007</x:v>
      </x:c>
      <x:c r="D37" s="83" t="str">
        <x:v>모델 별 기준 위치 입력</x:v>
      </x:c>
      <x:c r="E37" s="83" t="str">
        <x:v>· 모델 별 Align Key 기준 위치 입력 기능</x:v>
      </x:c>
      <x:c r="F37" s="83" t="str">
        <x:v>Align key 입력 기준(측정기준?)</x:v>
      </x:c>
      <x:c r="G37" s="83" t="str">
        <x:v>카메라 픽셀 값 기준 입력 및 얼라인 최종 8포인트 결과 활용. Job Change 시 작업 정밀도를 맞추면 기준 기판이 되며 얼라인 키와 보정 테이블 반영. 레시피에서 모델별 관리. 카메라 센터 중심 얼라인 후 일정 범위 내 존재 시 완료. 다음 기판부터 해당 키 기준으로 보정 진행. 얼라인 키와 디스톨션 키 위치 입력 기능 포함. 진동 대응으로 얼라인 스펙을 넓히면 외곽 셀의 위치 정확도가 떨어지므로, 진동 영향이 크지 않다면 기존 스펙 유지 권장.</x:v>
      </x:c>
      <x:c r="H37" s="83" t="str">
        <x:v>SDC 의견수렴</x:v>
      </x:c>
      <x:c r="I37" s="83" t="str">
        <x:v>[RD-007] 모델 별 기준 위치 입력: · 모델 별 Align Key 기준 위치 입력 기능 / 입력·상태·오류·복구·저장·검증 조건을 명시하여 모델 별 기준 위치 입력의 정상·경계·오류·복구 경로가 Sequence/Driver에 연결되고, 설정 재로딩·로그·시험증빙으로 원문 상세 요구를 충족한다.</x:v>
      </x:c>
      <x:c r="J37" s="83" t="str">
        <x:v>Recipe Manager, CSV Repository, Product/PPID Model, Change Log</x:v>
      </x:c>
      <x:c r="K37" s="83" t="str">
        <x:v>모델 별 기준 위치 입력의 정상·경계·오류·복구 경로가 Sequence/Driver에 연결되고, 설정 재로딩·로그·시험증빙으로 원문 상세 요구를 충족한다.</x:v>
      </x:c>
      <x:c r="L37" s="83" t="str">
        <x:v>87, 94, 113, 117</x:v>
      </x:c>
      <x:c r="M37" s="83" t="str">
        <x:v>E-REVIEW, E-RECIPE-FILE, E-DISTORTION, E-COORD</x:v>
      </x:c>
      <x:c r="N37" s="84" t="n">
        <x:v>0.79</x:v>
      </x:c>
      <x:c r="O37" s="83" t="str">
        <x:v>부분 반영</x:v>
      </x:c>
      <x:c r="P37" s="83" t="str">
        <x:v>일부 구현은 확인되나 실장비 연동, Timeout/Alarm/Recovery, 저장·복원 또는 고객 수용시험 증빙이 부족</x:v>
      </x:c>
      <x:c r="Q37" s="83" t="str">
        <x:v>07-01, 04-02</x:v>
      </x:c>
      <x:c r="R37" s="83" t="str">
        <x:v>26' 10월 3주</x:v>
      </x:c>
      <x:c r="S37" s="83" t="str">
        <x:v>코드 회귀→통신/Sequence 오류주입→실장비 수용시험</x:v>
      </x:c>
      <x:c r="T37" s="83" t="str">
        <x:f>IF(COUNTIF($C$6:$C$56,C37)=1,"정상","중복")</x:f>
        <x:v>정상</x:v>
      </x:c>
      <x:c r="U37" s="83" t="str">
        <x:f>IF(Q37&lt;&gt;"","연결","누락")</x:f>
        <x:v>연결</x:v>
      </x:c>
    </x:row>
    <x:row r="38" ht="42" customHeight="1">
      <x:c r="A38" s="83" t="n">
        <x:v>33</x:v>
      </x:c>
      <x:c r="B38" s="83" t="str">
        <x:v>3.4 검사 및 보정 
(Inspection &amp; Calibration)</x:v>
      </x:c>
      <x:c r="C38" s="83" t="str">
        <x:v>IC-001</x:v>
      </x:c>
      <x:c r="D38" s="83" t="str">
        <x:v>IOF/PtoP 검사 실행</x:v>
      </x:c>
      <x:c r="E38" s="83" t="str">
        <x:v>· 선택된 Cell/Head에 대해 세팅된 조건으로 IOF 및 PtoP 검사 수행
· 전체 Cell 에 대해 세팅된 조건으로 IOF 및 PtoP 검사 수행</x:v>
      </x:c>
      <x:c r="F38" s="83" t="str"/>
      <x:c r="G38" s="83" t="str"/>
      <x:c r="H38" s="83" t="str">
        <x:v>+ PtoP는 보조전극에 홀이 러프하게 진입하도록 처리하는 목적임
+ 검사가 안 된 부분은 위치 정보를 확인하여 수동 검사 또는 이미지 처리 기능으로 분리 필요</x:v>
      </x:c>
      <x:c r="I38" s="83" t="str">
        <x:v>[IC-001] IOF/PtoP 검사 실행: · 선택된 Cell/Head에 대해 세팅된 조건으로 IOF 및 PtoP 검사 수행
· 전체 Cell 에 대해 세팅된 조건으로 IOF 및 PtoP 검사 수행 / 입력·상태·오류·복구·저장·검증 조건을 명시하여 선택/전체 Cell·Head에 대한 Manual/Auto IOF 및 P-to-P 검사 Sequence가 좌표·측정값·판정과 함께 완료된다.</x:v>
      </x:c>
      <x:c r="J38" s="83" t="str">
        <x:v>Review Manager, Coordinate Transformer, Correction Model, Vision/Stage Interface</x:v>
      </x:c>
      <x:c r="K38" s="83" t="str">
        <x:v>선택/전체 Cell·Head에 대한 Manual/Auto IOF 및 P-to-P 검사 Sequence가 좌표·측정값·판정과 함께 완료된다.</x:v>
      </x:c>
      <x:c r="L38" s="83" t="str">
        <x:v>55, 89, 90</x:v>
      </x:c>
      <x:c r="M38" s="83" t="str">
        <x:v>E-SEQUENCE, E-REVIEW</x:v>
      </x:c>
      <x:c r="N38" s="84" t="n">
        <x:v>0.79</x:v>
      </x:c>
      <x:c r="O38" s="83" t="str">
        <x:v>미반영</x:v>
      </x:c>
      <x:c r="P38" s="83" t="str">
        <x:v>전용 Driver/Sequence/UI/데이터 모델의 직접 구현 근거가 없어 신규 구현과 단위·통합·실장비 시험이 필요</x:v>
      </x:c>
      <x:c r="Q38" s="83" t="str">
        <x:v>06-05</x:v>
      </x:c>
      <x:c r="R38" s="83" t="str">
        <x:v>26' 11월 4주</x:v>
      </x:c>
      <x:c r="S38" s="83" t="str">
        <x:v>신규 단위시험→통합시험→실장비 Witness</x:v>
      </x:c>
      <x:c r="T38" s="83" t="str">
        <x:f>IF(COUNTIF($C$6:$C$56,C38)=1,"정상","중복")</x:f>
        <x:v>정상</x:v>
      </x:c>
      <x:c r="U38" s="83" t="str">
        <x:f>IF(Q38&lt;&gt;"","연결","누락")</x:f>
        <x:v>연결</x:v>
      </x:c>
    </x:row>
    <x:row r="39" ht="42" customHeight="1">
      <x:c r="A39" s="83" t="n">
        <x:v>34</x:v>
      </x:c>
      <x:c r="B39" s="83" t="str">
        <x:v>3.4 검사 및 보정 
(Inspection &amp; Calibration)</x:v>
      </x:c>
      <x:c r="C39" s="83" t="str">
        <x:v>IC-002</x:v>
      </x:c>
      <x:c r="D39" s="83" t="str">
        <x:v>Fine 보정</x:v>
      </x:c>
      <x:c r="E39" s="83" t="str">
        <x:v>· 검사 결과 데이터 기반 Cell/Head 에 대한 선형 보정 수행</x:v>
      </x:c>
      <x:c r="F39" s="83" t="str"/>
      <x:c r="G39" s="83" t="str"/>
      <x:c r="H39" s="83" t="str">
        <x:v>- 러프 보정: 초기 가공 시 보조전극에 홀 진입이 안 될 때, 각 헤드/셀별 1포인트씩 이동하며 보정 데이터 취득 &gt; 오프셋 측정 후 일괄 보정 
(리뷰 측 인터페이스 필요, 이후 PtoP 보정 진행)
- 심플 보정: 초기 셋업 잡셋 시 헤드/셀별로 일괄 값을 수동으로 입력해야 할 때 사용 (사용자가 판단하므로 좌표 추출 필요 없음, 보통 헤드나 전체 셀 기준)
- 파인 보정: 3줄 검사 완료 후 Y방향 3줄, X방향 7mm 간격(분기빔)으로 모든 데이터를 선형 보정 (반복성이 나온다는 가정하에 진행하며 셀 단위로 관리)</x:v>
      </x:c>
      <x:c r="I39" s="83" t="str">
        <x:v>[IC-002] Fine 보정: · 검사 결과 데이터 기반 Cell/Head 에 대한 선형 보정 수행 / 입력·상태·오류·복구·저장·검증 조건을 명시하여 3줄 검사 데이터에 선형 Fine 보정을 계산·저장·재적용하고 재측정 오차가 Tolerance 내임을 입증한다.</x:v>
      </x:c>
      <x:c r="J39" s="83" t="str">
        <x:v>Review Manager, Coordinate Transformer, Correction Model, Vision/Stage Interface</x:v>
      </x:c>
      <x:c r="K39" s="83" t="str">
        <x:v>3줄 검사 데이터에 선형 Fine 보정을 계산·저장·재적용하고 재측정 오차가 Tolerance 내임을 입증한다.</x:v>
      </x:c>
      <x:c r="L39" s="83" t="str">
        <x:v>55, 89, 90, 91, 92</x:v>
      </x:c>
      <x:c r="M39" s="83" t="str">
        <x:v>E-SEQUENCE, E-REVIEW</x:v>
      </x:c>
      <x:c r="N39" s="84" t="n">
        <x:v>0.79</x:v>
      </x:c>
      <x:c r="O39" s="83" t="str">
        <x:v>유사하나 불충분</x:v>
      </x:c>
      <x:c r="P39" s="83" t="str">
        <x:v>유사 UI/기초 로직은 있으나 고객 대상·조건·데이터·적용방식이 달라 사양확정과 전용 로직·검증이 필요</x:v>
      </x:c>
      <x:c r="Q39" s="83" t="str">
        <x:v>07-05</x:v>
      </x:c>
      <x:c r="R39" s="83" t="str">
        <x:v>26' 11월 2주</x:v>
      </x:c>
      <x:c r="S39" s="83" t="str">
        <x:v>코드 회귀→통신/Sequence 오류주입→실장비 수용시험</x:v>
      </x:c>
      <x:c r="T39" s="83" t="str">
        <x:f>IF(COUNTIF($C$6:$C$56,C39)=1,"정상","중복")</x:f>
        <x:v>정상</x:v>
      </x:c>
      <x:c r="U39" s="83" t="str">
        <x:f>IF(Q39&lt;&gt;"","연결","누락")</x:f>
        <x:v>연결</x:v>
      </x:c>
    </x:row>
    <x:row r="40" ht="42" customHeight="1">
      <x:c r="A40" s="83" t="n">
        <x:v>35</x:v>
      </x:c>
      <x:c r="B40" s="83" t="str">
        <x:v>3.4 검사 및 보정 
(Inspection &amp; Calibration)</x:v>
      </x:c>
      <x:c r="C40" s="83" t="str">
        <x:v>IC-003</x:v>
      </x:c>
      <x:c r="D40" s="83" t="str">
        <x:v>Rough 보정</x:v>
      </x:c>
      <x:c r="E40" s="83" t="str">
        <x:v>· Cell 별 1 Point 자동 이동 검사
· 이후 측정값을 기반으로 Cell 에 Offset 일괄 보정 수행</x:v>
      </x:c>
      <x:c r="F40" s="83" t="str"/>
      <x:c r="G40" s="83" t="str"/>
      <x:c r="H40" s="83" t="str"/>
      <x:c r="I40" s="83" t="str">
        <x:v>[IC-003] Rough 보정: · Cell 별 1 Point 자동 이동 검사
· 이후 측정값을 기반으로 Cell 에 Offset 일괄 보정 수행 / 입력·상태·오류·복구·저장·검증 조건을 명시하여 Head/Cell별 1 Point 자동 이동·측정·일괄 Offset 보정·재측정을 완료하고 적용 전후 결과를 저장한다.</x:v>
      </x:c>
      <x:c r="J40" s="83" t="str">
        <x:v>Review Manager, Coordinate Transformer, Correction Model, Vision/Stage Interface</x:v>
      </x:c>
      <x:c r="K40" s="83" t="str">
        <x:v>Head/Cell별 1 Point 자동 이동·측정·일괄 Offset 보정·재측정을 완료하고 적용 전후 결과를 저장한다.</x:v>
      </x:c>
      <x:c r="L40" s="83" t="str">
        <x:v>55, 89, 90, 91, 92</x:v>
      </x:c>
      <x:c r="M40" s="83" t="str">
        <x:v>E-SEQUENCE, E-REVIEW</x:v>
      </x:c>
      <x:c r="N40" s="84" t="n">
        <x:v>0.79</x:v>
      </x:c>
      <x:c r="O40" s="83" t="str">
        <x:v>미반영</x:v>
      </x:c>
      <x:c r="P40" s="83" t="str">
        <x:v>전용 Driver/Sequence/UI/데이터 모델의 직접 구현 근거가 없어 신규 구현과 단위·통합·실장비 시험이 필요</x:v>
      </x:c>
      <x:c r="Q40" s="83" t="str">
        <x:v>07-05</x:v>
      </x:c>
      <x:c r="R40" s="83" t="str">
        <x:v>26' 11월 2주</x:v>
      </x:c>
      <x:c r="S40" s="83" t="str">
        <x:v>신규 단위시험→통합시험→실장비 Witness</x:v>
      </x:c>
      <x:c r="T40" s="83" t="str">
        <x:f>IF(COUNTIF($C$6:$C$56,C40)=1,"정상","중복")</x:f>
        <x:v>정상</x:v>
      </x:c>
      <x:c r="U40" s="83" t="str">
        <x:f>IF(Q40&lt;&gt;"","연결","누락")</x:f>
        <x:v>연결</x:v>
      </x:c>
    </x:row>
    <x:row r="41" ht="42" customHeight="1">
      <x:c r="A41" s="83" t="n">
        <x:v>36</x:v>
      </x:c>
      <x:c r="B41" s="83" t="str">
        <x:v>3.4 검사 및 보정 
(Inspection &amp; Calibration)</x:v>
      </x:c>
      <x:c r="C41" s="83" t="str">
        <x:v>IC-004</x:v>
      </x:c>
      <x:c r="D41" s="83" t="str">
        <x:v>Simple 보정</x:v>
      </x:c>
      <x:c r="E41" s="83" t="str">
        <x:v>· Cell or Head 선택 기능
· Offset X or Y Key-in 기능
· 입력값 보정</x:v>
      </x:c>
      <x:c r="F41" s="83" t="str">
        <x:v>보정방법 컨셉</x:v>
      </x:c>
      <x:c r="G41" s="83" t="str"/>
      <x:c r="H41" s="83" t="str"/>
      <x:c r="I41" s="83" t="str">
        <x:v>[IC-004] Simple 보정: · Cell or Head 선택 기능
· Offset X or Y Key-in 기능
· 입력값 보정 / 입력·상태·오류·복구·저장·검증 조건을 명시하여 Simple 보정의 정상·경계·오류·복구 경로가 Sequence/Driver에 연결되고, 설정 재로딩·로그·시험증빙으로 원문 상세 요구를 충족한다.</x:v>
      </x:c>
      <x:c r="J41" s="83" t="str">
        <x:v>Review Manager, Coordinate Transformer, Correction Model, Vision/Stage Interface</x:v>
      </x:c>
      <x:c r="K41" s="83" t="str">
        <x:v>Simple 보정의 정상·경계·오류·복구 경로가 Sequence/Driver에 연결되고, 설정 재로딩·로그·시험증빙으로 원문 상세 요구를 충족한다.</x:v>
      </x:c>
      <x:c r="L41" s="83" t="str">
        <x:v>92, 95, 97, 99</x:v>
      </x:c>
      <x:c r="M41" s="83" t="str">
        <x:v>E-REVIEW, E-RECIPE-FILE</x:v>
      </x:c>
      <x:c r="N41" s="84" t="n">
        <x:v>0.84</x:v>
      </x:c>
      <x:c r="O41" s="83" t="str">
        <x:v>부분 반영</x:v>
      </x:c>
      <x:c r="P41" s="83" t="str">
        <x:v>일부 구현은 확인되나 실장비 연동, Timeout/Alarm/Recovery, 저장·복원 또는 고객 수용시험 증빙이 부족</x:v>
      </x:c>
      <x:c r="Q41" s="83" t="str">
        <x:v>07-05</x:v>
      </x:c>
      <x:c r="R41" s="83" t="str">
        <x:v>26' 11월 2주</x:v>
      </x:c>
      <x:c r="S41" s="83" t="str">
        <x:v>코드 회귀→통신/Sequence 오류주입→실장비 수용시험</x:v>
      </x:c>
      <x:c r="T41" s="83" t="str">
        <x:f>IF(COUNTIF($C$6:$C$56,C41)=1,"정상","중복")</x:f>
        <x:v>정상</x:v>
      </x:c>
      <x:c r="U41" s="83" t="str">
        <x:f>IF(Q41&lt;&gt;"","연결","누락")</x:f>
        <x:v>연결</x:v>
      </x:c>
    </x:row>
    <x:row r="42" ht="42" customHeight="1">
      <x:c r="A42" s="83" t="n">
        <x:v>37</x:v>
      </x:c>
      <x:c r="B42" s="83" t="str">
        <x:v>3.4 검사 및 보정 
(Inspection &amp; Calibration)</x:v>
      </x:c>
      <x:c r="C42" s="83" t="str">
        <x:v>IC-005</x:v>
      </x:c>
      <x:c r="D42" s="83" t="str">
        <x:v>MOF Offset 테이블 모니터링</x:v>
      </x:c>
      <x:c r="E42" s="83" t="str">
        <x:v>· Recipe 별 MOF Offset Table 실시간 모니터링</x:v>
      </x:c>
      <x:c r="F42" s="83" t="str"/>
      <x:c r="G42" s="83" t="str"/>
      <x:c r="H42" s="83" t="str">
        <x:v>SDC 의견수렴</x:v>
      </x:c>
      <x:c r="I42" s="83" t="str">
        <x:v>[IC-005] MOF Offset 테이블 모니터링: · Recipe 별 MOF Offset Table 실시간 모니터링 / 입력·상태·오류·복구·저장·검증 조건을 명시하여 MOF Offset 테이블 모니터링의 정상·경계·오류·복구 경로가 Sequence/Driver에 연결되고, 설정 재로딩·로그·시험증빙으로 원문 상세 요구를 충족한다.</x:v>
      </x:c>
      <x:c r="J42" s="83" t="str">
        <x:v>Review Manager, Coordinate Transformer, Correction Model, Vision/Stage Interface</x:v>
      </x:c>
      <x:c r="K42" s="83" t="str">
        <x:v>MOF Offset 테이블 모니터링의 정상·경계·오류·복구 경로가 Sequence/Driver에 연결되고, 설정 재로딩·로그·시험증빙으로 원문 상세 요구를 충족한다.</x:v>
      </x:c>
      <x:c r="L42" s="83" t="str">
        <x:v>90, 91, 92, 95</x:v>
      </x:c>
      <x:c r="M42" s="83" t="str">
        <x:v>E-REVIEW, E-RECIPE-FILE</x:v>
      </x:c>
      <x:c r="N42" s="84" t="n">
        <x:v>0.84</x:v>
      </x:c>
      <x:c r="O42" s="83" t="str">
        <x:v>부분 반영</x:v>
      </x:c>
      <x:c r="P42" s="83" t="str">
        <x:v>일부 구현은 확인되나 실장비 연동, Timeout/Alarm/Recovery, 저장·복원 또는 고객 수용시험 증빙이 부족</x:v>
      </x:c>
      <x:c r="Q42" s="83" t="str">
        <x:v>07-07</x:v>
      </x:c>
      <x:c r="R42" s="83" t="str">
        <x:v>26' 11월 3주</x:v>
      </x:c>
      <x:c r="S42" s="83" t="str">
        <x:v>코드 회귀→통신/Sequence 오류주입→실장비 수용시험</x:v>
      </x:c>
      <x:c r="T42" s="83" t="str">
        <x:f>IF(COUNTIF($C$6:$C$56,C42)=1,"정상","중복")</x:f>
        <x:v>정상</x:v>
      </x:c>
      <x:c r="U42" s="83" t="str">
        <x:f>IF(Q42&lt;&gt;"","연결","누락")</x:f>
        <x:v>연결</x:v>
      </x:c>
    </x:row>
    <x:row r="43" ht="42" customHeight="1">
      <x:c r="A43" s="83" t="n">
        <x:v>38</x:v>
      </x:c>
      <x:c r="B43" s="83" t="str">
        <x:v>3.4 검사 및 보정 
(Inspection &amp; Calibration)</x:v>
      </x:c>
      <x:c r="C43" s="83" t="str">
        <x:v>IC-006</x:v>
      </x:c>
      <x:c r="D43" s="83" t="str">
        <x:v>검사 옵션 세팅</x:v>
      </x:c>
      <x:c r="E43" s="83" t="str">
        <x:v>· Head 지정
· Cell 지정
· 검사 포인트 수량 지정(X,Y)
· 분기법 선택</x:v>
      </x:c>
      <x:c r="F43" s="83" t="str"/>
      <x:c r="G43" s="83" t="str"/>
      <x:c r="H43" s="83" t="str">
        <x:v>SDC 의견수렴</x:v>
      </x:c>
      <x:c r="I43" s="83" t="str">
        <x:v>[IC-006] 검사 옵션 세팅: · Head 지정
· Cell 지정
· 검사 포인트 수량 지정(X,Y)
· 분기법 선택 / 입력·상태·오류·복구·저장·검증 조건을 명시하여 검사 옵션 세팅의 정상·경계·오류·복구 경로가 Sequence/Driver에 연결되고, 설정 재로딩·로그·시험증빙으로 원문 상세 요구를 충족한다.</x:v>
      </x:c>
      <x:c r="J43" s="83" t="str">
        <x:v>Review Manager, Coordinate Transformer, Correction Model, Vision/Stage Interface</x:v>
      </x:c>
      <x:c r="K43" s="83" t="str">
        <x:v>검사 옵션 세팅의 정상·경계·오류·복구 경로가 Sequence/Driver에 연결되고, 설정 재로딩·로그·시험증빙으로 원문 상세 요구를 충족한다.</x:v>
      </x:c>
      <x:c r="L43" s="83" t="str">
        <x:v>55, 89, 94</x:v>
      </x:c>
      <x:c r="M43" s="83" t="str">
        <x:v>E-SEQUENCE, E-REVIEW, E-RECIPE-FILE</x:v>
      </x:c>
      <x:c r="N43" s="84" t="n">
        <x:v>0.82</x:v>
      </x:c>
      <x:c r="O43" s="83" t="str">
        <x:v>부분 반영</x:v>
      </x:c>
      <x:c r="P43" s="83" t="str">
        <x:v>일부 구현은 확인되나 실장비 연동, Timeout/Alarm/Recovery, 저장·복원 또는 고객 수용시험 증빙이 부족</x:v>
      </x:c>
      <x:c r="Q43" s="83" t="str">
        <x:v>07-04</x:v>
      </x:c>
      <x:c r="R43" s="83" t="str">
        <x:v>26' 10월 3주</x:v>
      </x:c>
      <x:c r="S43" s="83" t="str">
        <x:v>코드 회귀→통신/Sequence 오류주입→실장비 수용시험</x:v>
      </x:c>
      <x:c r="T43" s="83" t="str">
        <x:f>IF(COUNTIF($C$6:$C$56,C43)=1,"정상","중복")</x:f>
        <x:v>정상</x:v>
      </x:c>
      <x:c r="U43" s="83" t="str">
        <x:f>IF(Q43&lt;&gt;"","연결","누락")</x:f>
        <x:v>연결</x:v>
      </x:c>
    </x:row>
    <x:row r="44" ht="42" customHeight="1">
      <x:c r="A44" s="83" t="n">
        <x:v>39</x:v>
      </x:c>
      <x:c r="B44" s="83" t="str">
        <x:v>3.4 검사 및 보정 
(Inspection &amp; Calibration)</x:v>
      </x:c>
      <x:c r="C44" s="83" t="str">
        <x:v>IC-007</x:v>
      </x:c>
      <x:c r="D44" s="83" t="str">
        <x:v>검사 데이터 모니터링</x:v>
      </x:c>
      <x:c r="E44" s="83" t="str">
        <x:v>· 세팅 검사 조건 기준 검사 Data Table 표시
· Table內 Data 중 Min/Max 표시
· Data Table 업데이트 기능</x:v>
      </x:c>
      <x:c r="F44" s="83" t="str">
        <x:v>Data Table 업데이트를 어떤 부분을 업데이트 하는지?</x:v>
      </x:c>
      <x:c r="G44" s="83" t="str"/>
      <x:c r="H44" s="83" t="str">
        <x:v>SDC 의견수렴</x:v>
      </x:c>
      <x:c r="I44" s="83" t="str">
        <x:v>[IC-007] 검사 데이터 모니터링: · 세팅 검사 조건 기준 검사 Data Table 표시
· Table內 Data 중 Min/Max 표시
· Data Table 업데이트 기능 / 입력·상태·오류·복구·저장·검증 조건을 명시하여 검사 데이터 모니터링의 정상·경계·오류·복구 경로가 Sequence/Driver에 연결되고, 설정 재로딩·로그·시험증빙으로 원문 상세 요구를 충족한다.</x:v>
      </x:c>
      <x:c r="J44" s="83" t="str">
        <x:v>Review Manager, Coordinate Transformer, Correction Model, Vision/Stage Interface</x:v>
      </x:c>
      <x:c r="K44" s="83" t="str">
        <x:v>검사 데이터 모니터링의 정상·경계·오류·복구 경로가 Sequence/Driver에 연결되고, 설정 재로딩·로그·시험증빙으로 원문 상세 요구를 충족한다.</x:v>
      </x:c>
      <x:c r="L44" s="83" t="str">
        <x:v>55, 89, 90, 91</x:v>
      </x:c>
      <x:c r="M44" s="83" t="str">
        <x:v>E-SEQUENCE, E-REVIEW</x:v>
      </x:c>
      <x:c r="N44" s="84" t="n">
        <x:v>0.79</x:v>
      </x:c>
      <x:c r="O44" s="83" t="str">
        <x:v>부분 반영</x:v>
      </x:c>
      <x:c r="P44" s="83" t="str">
        <x:v>일부 구현은 확인되나 실장비 연동, Timeout/Alarm/Recovery, 저장·복원 또는 고객 수용시험 증빙이 부족</x:v>
      </x:c>
      <x:c r="Q44" s="83" t="str">
        <x:v>07-06</x:v>
      </x:c>
      <x:c r="R44" s="83" t="str">
        <x:v>26' 11월 2주</x:v>
      </x:c>
      <x:c r="S44" s="83" t="str">
        <x:v>코드 회귀→통신/Sequence 오류주입→실장비 수용시험</x:v>
      </x:c>
      <x:c r="T44" s="83" t="str">
        <x:f>IF(COUNTIF($C$6:$C$56,C44)=1,"정상","중복")</x:f>
        <x:v>정상</x:v>
      </x:c>
      <x:c r="U44" s="83" t="str">
        <x:f>IF(Q44&lt;&gt;"","연결","누락")</x:f>
        <x:v>연결</x:v>
      </x:c>
    </x:row>
    <x:row r="45" ht="42" customHeight="1">
      <x:c r="A45" s="83" t="n">
        <x:v>40</x:v>
      </x:c>
      <x:c r="B45" s="83" t="str">
        <x:v>3.4 검사 및 보정 
(Inspection &amp; Calibration)</x:v>
      </x:c>
      <x:c r="C45" s="83" t="str">
        <x:v>IC-008</x:v>
      </x:c>
      <x:c r="D45" s="83" t="str">
        <x:v>Tolerance 관리</x:v>
      </x:c>
      <x:c r="E45" s="83" t="str">
        <x:v>· 검사 Data Tolerance 범위 입력
· 초과 데이터 적등 표시</x:v>
      </x:c>
      <x:c r="F45" s="83" t="str"/>
      <x:c r="G45" s="83" t="str">
        <x:v>인접 셀 데이터 측정 및 절대값 측정 관리. 통계 요약 리포트는 참조용이며 보정 완료 여부나 특정 셀/헤드 재작업 여부 판단 근거로 활용.</x:v>
      </x:c>
      <x:c r="H45" s="83" t="str">
        <x:v>SDC 의견수렴</x:v>
      </x:c>
      <x:c r="I45" s="83" t="str">
        <x:v>[IC-008] Tolerance 관리: · 검사 Data Tolerance 범위 입력
· 초과 데이터 적등 표시 / 입력·상태·오류·복구·저장·검증 조건을 명시하여 Tolerance 관리의 정상·경계·오류·복구 경로가 Sequence/Driver에 연결되고, 설정 재로딩·로그·시험증빙으로 원문 상세 요구를 충족한다.</x:v>
      </x:c>
      <x:c r="J45" s="83" t="str">
        <x:v>Review Manager, Coordinate Transformer, Correction Model, Vision/Stage Interface</x:v>
      </x:c>
      <x:c r="K45" s="83" t="str">
        <x:v>Tolerance 관리의 정상·경계·오류·복구 경로가 Sequence/Driver에 연결되고, 설정 재로딩·로그·시험증빙으로 원문 상세 요구를 충족한다.</x:v>
      </x:c>
      <x:c r="L45" s="83" t="str">
        <x:v>55, 94</x:v>
      </x:c>
      <x:c r="M45" s="83" t="str">
        <x:v>E-SEQUENCE, E-RECIPE-FILE</x:v>
      </x:c>
      <x:c r="N45" s="84" t="n">
        <x:v>0.83</x:v>
      </x:c>
      <x:c r="O45" s="83" t="str">
        <x:v>부분 반영</x:v>
      </x:c>
      <x:c r="P45" s="83" t="str">
        <x:v>일부 구현은 확인되나 실장비 연동, Timeout/Alarm/Recovery, 저장·복원 또는 고객 수용시험 증빙이 부족</x:v>
      </x:c>
      <x:c r="Q45" s="83" t="str">
        <x:v>07-06</x:v>
      </x:c>
      <x:c r="R45" s="83" t="str">
        <x:v>26' 11월 2주</x:v>
      </x:c>
      <x:c r="S45" s="83" t="str">
        <x:v>코드 회귀→통신/Sequence 오류주입→실장비 수용시험</x:v>
      </x:c>
      <x:c r="T45" s="83" t="str">
        <x:f>IF(COUNTIF($C$6:$C$56,C45)=1,"정상","중복")</x:f>
        <x:v>정상</x:v>
      </x:c>
      <x:c r="U45" s="83" t="str">
        <x:f>IF(Q45&lt;&gt;"","연결","누락")</x:f>
        <x:v>연결</x:v>
      </x:c>
    </x:row>
    <x:row r="46" ht="42" customHeight="1">
      <x:c r="A46" s="83" t="n">
        <x:v>41</x:v>
      </x:c>
      <x:c r="B46" s="83" t="str">
        <x:v>3.4 검사 및 보정 
(Inspection &amp; Calibration)</x:v>
      </x:c>
      <x:c r="C46" s="83" t="str">
        <x:v>IC-009</x:v>
      </x:c>
      <x:c r="D46" s="83" t="str">
        <x:v>리모트 검사 업데이트</x:v>
      </x:c>
      <x:c r="E46" s="83" t="str">
        <x:v>· Table內 검사 포인트 위치 이동 기능
· 리모트 검사 기능
· 검사 Data 업데이트 기능</x:v>
      </x:c>
      <x:c r="F46" s="83" t="str">
        <x:v>내용 설명요청</x:v>
      </x:c>
      <x:c r="G46" s="83" t="str">
        <x:v>Cell클릭하여 Vision과 I/F를 통해 측정 데이터를 수동으로 측정하는 기능</x:v>
      </x:c>
      <x:c r="H46" s="83" t="str">
        <x:v>SDC 의견수렴</x:v>
      </x:c>
      <x:c r="I46" s="83" t="str">
        <x:v>[IC-009] 리모트 검사 업데이트: · Table內 검사 포인트 위치 이동 기능
· 리모트 검사 기능
· 검사 Data 업데이트 기능 / 입력·상태·오류·복구·저장·검증 조건을 명시하여 리모트 검사 업데이트의 정상·경계·오류·복구 경로가 Sequence/Driver에 연결되고, 설정 재로딩·로그·시험증빙으로 원문 상세 요구를 충족한다.</x:v>
      </x:c>
      <x:c r="J46" s="83" t="str">
        <x:v>Review Manager, Coordinate Transformer, Correction Model, Vision/Stage Interface</x:v>
      </x:c>
      <x:c r="K46" s="83" t="str">
        <x:v>리모트 검사 업데이트의 정상·경계·오류·복구 경로가 Sequence/Driver에 연결되고, 설정 재로딩·로그·시험증빙으로 원문 상세 요구를 충족한다.</x:v>
      </x:c>
      <x:c r="L46" s="83" t="str">
        <x:v>55, 89, 90, 91</x:v>
      </x:c>
      <x:c r="M46" s="83" t="str">
        <x:v>E-SEQUENCE, E-REVIEW</x:v>
      </x:c>
      <x:c r="N46" s="84" t="n">
        <x:v>0.79</x:v>
      </x:c>
      <x:c r="O46" s="83" t="str">
        <x:v>부분 반영</x:v>
      </x:c>
      <x:c r="P46" s="83" t="str">
        <x:v>일부 구현은 확인되나 실장비 연동, Timeout/Alarm/Recovery, 저장·복원 또는 고객 수용시험 증빙이 부족</x:v>
      </x:c>
      <x:c r="Q46" s="83" t="str">
        <x:v>07-06</x:v>
      </x:c>
      <x:c r="R46" s="83" t="str">
        <x:v>26' 11월 2주</x:v>
      </x:c>
      <x:c r="S46" s="83" t="str">
        <x:v>코드 회귀→통신/Sequence 오류주입→실장비 수용시험</x:v>
      </x:c>
      <x:c r="T46" s="83" t="str">
        <x:f>IF(COUNTIF($C$6:$C$56,C46)=1,"정상","중복")</x:f>
        <x:v>정상</x:v>
      </x:c>
      <x:c r="U46" s="83" t="str">
        <x:f>IF(Q46&lt;&gt;"","연결","누락")</x:f>
        <x:v>연결</x:v>
      </x:c>
    </x:row>
    <x:row r="47" ht="42" customHeight="1">
      <x:c r="A47" s="83" t="n">
        <x:v>42</x:v>
      </x:c>
      <x:c r="B47" s="83" t="str">
        <x:v>3.4 검사 및 보정 
(Inspection &amp; Calibration)</x:v>
      </x:c>
      <x:c r="C47" s="83" t="str">
        <x:v>IC-010</x:v>
      </x:c>
      <x:c r="D47" s="83" t="str">
        <x:v>통계 요약 리포트</x:v>
      </x:c>
      <x:c r="E47" s="83" t="str">
        <x:v>· 전체 Cell 검사 결과에대한 통계 리포트 생성
(Min, Max, 3σ, Tolerance 초과 포인트 현황)</x:v>
      </x:c>
      <x:c r="F47" s="83" t="str">
        <x:v>내용 설명요청</x:v>
      </x:c>
      <x:c r="G47" s="83" t="str"/>
      <x:c r="H47" s="83" t="str">
        <x:v>SDC 의견수렴</x:v>
      </x:c>
      <x:c r="I47" s="83" t="str">
        <x:v>[IC-010] 통계 요약 리포트: · 전체 Cell 검사 결과에대한 통계 리포트 생성
(Min, Max, 3σ, Tolerance 초과 포인트 현황) / 입력·상태·오류·복구·저장·검증 조건을 명시하여 통계 요약 리포트의 정상·경계·오류·복구 경로가 Sequence/Driver에 연결되고, 설정 재로딩·로그·시험증빙으로 원문 상세 요구를 충족한다.</x:v>
      </x:c>
      <x:c r="J47" s="83" t="str">
        <x:v>Review Manager, Coordinate Transformer, Correction Model, Vision/Stage Interface</x:v>
      </x:c>
      <x:c r="K47" s="83" t="str">
        <x:v>통계 요약 리포트의 정상·경계·오류·복구 경로가 Sequence/Driver에 연결되고, 설정 재로딩·로그·시험증빙으로 원문 상세 요구를 충족한다.</x:v>
      </x:c>
      <x:c r="L47" s="83" t="str">
        <x:v>68, 70, 90</x:v>
      </x:c>
      <x:c r="M47" s="83" t="str">
        <x:v>E-ALARM, E-LOG, E-REVIEW</x:v>
      </x:c>
      <x:c r="N47" s="84" t="n">
        <x:v>0.79</x:v>
      </x:c>
      <x:c r="O47" s="83" t="str">
        <x:v>부분 반영</x:v>
      </x:c>
      <x:c r="P47" s="83" t="str">
        <x:v>일부 구현은 확인되나 실장비 연동, Timeout/Alarm/Recovery, 저장·복원 또는 고객 수용시험 증빙이 부족</x:v>
      </x:c>
      <x:c r="Q47" s="83" t="str">
        <x:v>07-06</x:v>
      </x:c>
      <x:c r="R47" s="83" t="str">
        <x:v>26' 11월 2주</x:v>
      </x:c>
      <x:c r="S47" s="83" t="str">
        <x:v>코드 회귀→통신/Sequence 오류주입→실장비 수용시험</x:v>
      </x:c>
      <x:c r="T47" s="83" t="str">
        <x:f>IF(COUNTIF($C$6:$C$56,C47)=1,"정상","중복")</x:f>
        <x:v>정상</x:v>
      </x:c>
      <x:c r="U47" s="83" t="str">
        <x:f>IF(Q47&lt;&gt;"","연결","누락")</x:f>
        <x:v>연결</x:v>
      </x:c>
    </x:row>
    <x:row r="48" ht="42" customHeight="1">
      <x:c r="A48" s="83" t="n">
        <x:v>43</x:v>
      </x:c>
      <x:c r="B48" s="83" t="str">
        <x:v>3.4 검사 및 보정 
(Inspection &amp; Calibration)</x:v>
      </x:c>
      <x:c r="C48" s="83" t="str">
        <x:v>IC-011</x:v>
      </x:c>
      <x:c r="D48" s="83" t="str">
        <x:v>MOF 매뉴얼 가공</x:v>
      </x:c>
      <x:c r="E48" s="83" t="str">
        <x:v>· Stage, Review 위치 정보 모니터링
· Stage 모션 제어 기능
· Review 모션 제어 기능
· 상대/절대 이동 기능
· 매뉴얼 MOF 가공 기능
· MOF 가공 대상 Head 선택 기능</x:v>
      </x:c>
      <x:c r="F48" s="83" t="str">
        <x:v>Melsec으로만 제어, 제어권은 Stage만 갖도록 변경제안</x:v>
      </x:c>
      <x:c r="G48" s="83" t="str">
        <x:v>가공 제어권을 IPS로 넘기는 것은 임의 진행 가능 (시간 지연 없을 것). 가공은 Melsec으로 위치 이동하며 ACS 직접 접근 안 함. 리뷰(Review)만 ACS 접근하며, 리뷰 ATF On/Off는 Stage 위치 기반 판단.</x:v>
      </x:c>
      <x:c r="H48" s="83" t="str">
        <x:v>SDC 의견수렴</x:v>
      </x:c>
      <x:c r="I48" s="83" t="str">
        <x:v>[IC-011] MOF 매뉴얼 가공: · Stage, Review 위치 정보 모니터링
· Stage 모션 제어 기능
· Review 모션 제어 기능
· 상대/절대 이동 기능
· 매뉴얼 MOF 가공 기능
· MOF 가공 대상 Head 선택 기능 / 입력·상태·오류·복구·저장·검증 조건을 명시하여 MOF 매뉴얼 가공의 정상·경계·오류·복구 경로가 Sequence/Driver에 연결되고, 설정 재로딩·로그·시험증빙으로 원문 상세 요구를 충족한다.</x:v>
      </x:c>
      <x:c r="J48" s="83" t="str">
        <x:v>Review Manager, Coordinate Transformer, Correction Model, Vision/Stage Interface</x:v>
      </x:c>
      <x:c r="K48" s="83" t="str">
        <x:v>MOF 매뉴얼 가공의 정상·경계·오류·복구 경로가 Sequence/Driver에 연결되고, 설정 재로딩·로그·시험증빙으로 원문 상세 요구를 충족한다.</x:v>
      </x:c>
      <x:c r="L48" s="83" t="str">
        <x:v>6, 7, 25, 83, 84, 89</x:v>
      </x:c>
      <x:c r="M48" s="83" t="str">
        <x:v>E-UI-MANUAL, E-XPS, E-REVIEW</x:v>
      </x:c>
      <x:c r="N48" s="84" t="n">
        <x:v>0.73</x:v>
      </x:c>
      <x:c r="O48" s="83" t="str">
        <x:v>부분 반영</x:v>
      </x:c>
      <x:c r="P48" s="83" t="str">
        <x:v>일부 구현은 확인되나 실장비 연동, Timeout/Alarm/Recovery, 저장·복원 또는 고객 수용시험 증빙이 부족</x:v>
      </x:c>
      <x:c r="Q48" s="83" t="str">
        <x:v>06-04</x:v>
      </x:c>
      <x:c r="R48" s="83" t="str">
        <x:v>26' 11월 2주</x:v>
      </x:c>
      <x:c r="S48" s="83" t="str">
        <x:v>코드 회귀→통신/Sequence 오류주입→실장비 수용시험</x:v>
      </x:c>
      <x:c r="T48" s="83" t="str">
        <x:f>IF(COUNTIF($C$6:$C$56,C48)=1,"정상","중복")</x:f>
        <x:v>정상</x:v>
      </x:c>
      <x:c r="U48" s="83" t="str">
        <x:f>IF(Q48&lt;&gt;"","연결","누락")</x:f>
        <x:v>연결</x:v>
      </x:c>
    </x:row>
    <x:row r="49" ht="42" customHeight="1">
      <x:c r="A49" s="83" t="n">
        <x:v>44</x:v>
      </x:c>
      <x:c r="B49" s="83" t="str">
        <x:v>3.5 시스템 설정 
(System Settings)</x:v>
      </x:c>
      <x:c r="C49" s="83" t="str">
        <x:v>SS-001</x:v>
      </x:c>
      <x:c r="D49" s="83" t="str">
        <x:v>Laser 세팅 및 모니터링</x:v>
      </x:c>
      <x:c r="E49" s="83" t="str">
        <x:v>· Head 별 Diode On/Off.
· Mode(Internal/External)
· Gate, Shutter 제어 및 파라미터 모니터링
· 인터락 상태 모니터링</x:v>
      </x:c>
      <x:c r="F49" s="83" t="str"/>
      <x:c r="G49" s="83" t="str"/>
      <x:c r="H49" s="83" t="str">
        <x:v>SDC 의견수렴</x:v>
      </x:c>
      <x:c r="I49" s="83" t="str">
        <x:v>[SS-001] Laser 세팅 및 모니터링: · Head 별 Diode On/Off.
· Mode(Internal/External)
· Gate, Shutter 제어 및 파라미터 모니터링
· 인터락 상태 모니터링 / 입력·상태·오류·복구·저장·검증 조건을 명시하여 Laser 세팅 및 모니터링의 정상·경계·오류·복구 경로가 Sequence/Driver에 연결되고, 설정 재로딩·로그·시험증빙으로 원문 상세 요구를 충족한다.</x:v>
      </x:c>
      <x:c r="J49" s="83" t="str">
        <x:v>Setting/Monitor UI, Device Driver, Interlock, Config Repository</x:v>
      </x:c>
      <x:c r="K49" s="83" t="str">
        <x:v>Laser 세팅 및 모니터링의 정상·경계·오류·복구 경로가 Sequence/Driver에 연결되고, 설정 재로딩·로그·시험증빙으로 원문 상세 요구를 충족한다.</x:v>
      </x:c>
      <x:c r="L49" s="83" t="str">
        <x:v>14, 26, 104</x:v>
      </x:c>
      <x:c r="M49" s="83" t="str">
        <x:v>E-UI-MONITOR, E-LASER</x:v>
      </x:c>
      <x:c r="N49" s="84" t="n">
        <x:v>0.77</x:v>
      </x:c>
      <x:c r="O49" s="83" t="str">
        <x:v>부분 반영</x:v>
      </x:c>
      <x:c r="P49" s="83" t="str">
        <x:v>일부 구현은 확인되나 실장비 연동, Timeout/Alarm/Recovery, 저장·복원 또는 고객 수용시험 증빙이 부족</x:v>
      </x:c>
      <x:c r="Q49" s="83" t="str">
        <x:v>09-01</x:v>
      </x:c>
      <x:c r="R49" s="83" t="str">
        <x:v>26' 10월 3주</x:v>
      </x:c>
      <x:c r="S49" s="83" t="str">
        <x:v>코드 회귀→통신/Sequence 오류주입→실장비 수용시험</x:v>
      </x:c>
      <x:c r="T49" s="83" t="str">
        <x:f>IF(COUNTIF($C$6:$C$56,C49)=1,"정상","중복")</x:f>
        <x:v>정상</x:v>
      </x:c>
      <x:c r="U49" s="83" t="str">
        <x:f>IF(Q49&lt;&gt;"","연결","누락")</x:f>
        <x:v>연결</x:v>
      </x:c>
    </x:row>
    <x:row r="50" ht="42" customHeight="1">
      <x:c r="A50" s="83" t="n">
        <x:v>45</x:v>
      </x:c>
      <x:c r="B50" s="83" t="str">
        <x:v>3.5 시스템 설정 
(System Settings)</x:v>
      </x:c>
      <x:c r="C50" s="83" t="str">
        <x:v>SS-002</x:v>
      </x:c>
      <x:c r="D50" s="83" t="str">
        <x:v>Optic 세팅 및 모니터링</x:v>
      </x:c>
      <x:c r="E50" s="83" t="str">
        <x:v>· Head 별 Bex L1/L2
· Scan Tilt 축 Position 세팅
· Attenuator 세팅 및 모니터링
· DOE Z Position 세팅 및 모니터링</x:v>
      </x:c>
      <x:c r="F50" s="83" t="str"/>
      <x:c r="G50" s="83" t="str"/>
      <x:c r="H50" s="83" t="str">
        <x:v>SDC 의견수렴</x:v>
      </x:c>
      <x:c r="I50" s="83" t="str">
        <x:v>[SS-002] Optic 세팅 및 모니터링: · Head 별 Bex L1/L2
· Scan Tilt 축 Position 세팅
· Attenuator 세팅 및 모니터링
· DOE Z Position 세팅 및 모니터링 / 입력·상태·오류·복구·저장·검증 조건을 명시하여 Optic 세팅 및 모니터링의 정상·경계·오류·복구 경로가 Sequence/Driver에 연결되고, 설정 재로딩·로그·시험증빙으로 원문 상세 요구를 충족한다.</x:v>
      </x:c>
      <x:c r="J50" s="83" t="str">
        <x:v>Setting/Monitor UI, Device Driver, Interlock, Config Repository</x:v>
      </x:c>
      <x:c r="K50" s="83" t="str">
        <x:v>Optic 세팅 및 모니터링의 정상·경계·오류·복구 경로가 Sequence/Driver에 연결되고, 설정 재로딩·로그·시험증빙으로 원문 상세 요구를 충족한다.</x:v>
      </x:c>
      <x:c r="L50" s="83" t="str">
        <x:v>17, 20, 25, 29, 30, 102, 103</x:v>
      </x:c>
      <x:c r="M50" s="83" t="str">
        <x:v>E-UI-MONITOR, E-XPS, E-BET, E-ATT</x:v>
      </x:c>
      <x:c r="N50" s="84" t="n">
        <x:v>0.73</x:v>
      </x:c>
      <x:c r="O50" s="83" t="str">
        <x:v>부분 반영</x:v>
      </x:c>
      <x:c r="P50" s="83" t="str">
        <x:v>일부 구현은 확인되나 실장비 연동, Timeout/Alarm/Recovery, 저장·복원 또는 고객 수용시험 증빙이 부족</x:v>
      </x:c>
      <x:c r="Q50" s="83" t="str">
        <x:v>09-02</x:v>
      </x:c>
      <x:c r="R50" s="83" t="str">
        <x:v>26' 11월 1주</x:v>
      </x:c>
      <x:c r="S50" s="83" t="str">
        <x:v>코드 회귀→통신/Sequence 오류주입→실장비 수용시험</x:v>
      </x:c>
      <x:c r="T50" s="83" t="str">
        <x:f>IF(COUNTIF($C$6:$C$56,C50)=1,"정상","중복")</x:f>
        <x:v>정상</x:v>
      </x:c>
      <x:c r="U50" s="83" t="str">
        <x:f>IF(Q50&lt;&gt;"","연결","누락")</x:f>
        <x:v>연결</x:v>
      </x:c>
    </x:row>
    <x:row r="51" ht="42" customHeight="1">
      <x:c r="A51" s="83" t="n">
        <x:v>46</x:v>
      </x:c>
      <x:c r="B51" s="83" t="str">
        <x:v>3.5 시스템 설정 
(System Settings)</x:v>
      </x:c>
      <x:c r="C51" s="83" t="str">
        <x:v>SS-003</x:v>
      </x:c>
      <x:c r="D51" s="83" t="str">
        <x:v>Scanner 세팅</x:v>
      </x:c>
      <x:c r="E51" s="83" t="str">
        <x:v>· Scanner Default Offset 세팅 및 자동 계산/제안 기능
· CPU/EQD/Angle/Mark Speed/Delay 파라미터 설정</x:v>
      </x:c>
      <x:c r="F51" s="83" t="str">
        <x:v>내용 설명요청</x:v>
      </x:c>
      <x:c r="G51" s="83" t="str">
        <x:v>스캐너 세팅의 CPU는 스캐너 각도를 디지털 값으로 변환할 때 참조하는 계수임.</x:v>
      </x:c>
      <x:c r="H51" s="83" t="str">
        <x:v>SDC 의견수렴</x:v>
      </x:c>
      <x:c r="I51" s="83" t="str">
        <x:v>[SS-003] Scanner 세팅: · Scanner Default Offset 세팅 및 자동 계산/제안 기능
· CPU/EQD/Angle/Mark Speed/Delay 파라미터 설정 / 입력·상태·오류·복구·저장·검증 조건을 명시하여 Scanner 세팅의 정상·경계·오류·복구 경로가 Sequence/Driver에 연결되고, 설정 재로딩·로그·시험증빙으로 원문 상세 요구를 충족한다.</x:v>
      </x:c>
      <x:c r="J51" s="83" t="str">
        <x:v>Setting/Monitor UI, Device Driver, Interlock, Config Repository</x:v>
      </x:c>
      <x:c r="K51" s="83" t="str">
        <x:v>Scanner 세팅의 정상·경계·오류·복구 경로가 Sequence/Driver에 연결되고, 설정 재로딩·로그·시험증빙으로 원문 상세 요구를 충족한다.</x:v>
      </x:c>
      <x:c r="L51" s="83" t="str">
        <x:v>34, 39, 96, 97, 116, 117</x:v>
      </x:c>
      <x:c r="M51" s="83" t="str">
        <x:v>E-AUTOMATION, E-SETTING-FILE, E-RECIPE-FILE, E-SCRIPT, E-COORD</x:v>
      </x:c>
      <x:c r="N51" s="84" t="n">
        <x:v>0.85</x:v>
      </x:c>
      <x:c r="O51" s="83" t="str">
        <x:v>부분 반영</x:v>
      </x:c>
      <x:c r="P51" s="83" t="str">
        <x:v>일부 구현은 확인되나 실장비 연동, Timeout/Alarm/Recovery, 저장·복원 또는 고객 수용시험 증빙이 부족</x:v>
      </x:c>
      <x:c r="Q51" s="83" t="str">
        <x:v>08-02, 08-04</x:v>
      </x:c>
      <x:c r="R51" s="83" t="str">
        <x:v>26' 11월 1주</x:v>
      </x:c>
      <x:c r="S51" s="83" t="str">
        <x:v>코드 회귀→통신/Sequence 오류주입→실장비 수용시험</x:v>
      </x:c>
      <x:c r="T51" s="83" t="str">
        <x:f>IF(COUNTIF($C$6:$C$56,C51)=1,"정상","중복")</x:f>
        <x:v>정상</x:v>
      </x:c>
      <x:c r="U51" s="83" t="str">
        <x:f>IF(Q51&lt;&gt;"","연결","누락")</x:f>
        <x:v>연결</x:v>
      </x:c>
    </x:row>
    <x:row r="52" ht="42" customHeight="1">
      <x:c r="A52" s="83" t="n">
        <x:v>47</x:v>
      </x:c>
      <x:c r="B52" s="83" t="str">
        <x:v>3.5 시스템 설정 
(System Settings)</x:v>
      </x:c>
      <x:c r="C52" s="83" t="str">
        <x:v>SS-004</x:v>
      </x:c>
      <x:c r="D52" s="83" t="str">
        <x:v>파워 보정 (수동/자동)</x:v>
      </x:c>
      <x:c r="E52" s="83" t="str">
        <x:v>· 수동 파워미터 측정 및 조건 세팅
· 목표값/Tolerance 기반 자동 보정 시작/강제종료
· 인터락 및 Stage 회피 동작 확인</x:v>
      </x:c>
      <x:c r="F52" s="83" t="str"/>
      <x:c r="G52" s="83" t="str"/>
      <x:c r="H52" s="83" t="str">
        <x:v>SDC 의견수렴</x:v>
      </x:c>
      <x:c r="I52" s="83" t="str">
        <x:v>[SS-004] 파워 보정 (수동/자동): · 수동 파워미터 측정 및 조건 세팅
· 목표값/Tolerance 기반 자동 보정 시작/강제종료
· 인터락 및 Stage 회피 동작 확인 / 입력·상태·오류·복구·저장·검증 조건을 명시하여 수동 측정과 목표/Tolerance 기반 ATT 반복 보정이 Interlock/Stage 회피를 포함해 정상 종료·강제 종료·Timeout으로 구분된다.</x:v>
      </x:c>
      <x:c r="J52" s="83" t="str">
        <x:v>Setting/Monitor UI, Device Driver, Interlock, Config Repository</x:v>
      </x:c>
      <x:c r="K52" s="83" t="str">
        <x:v>수동 측정과 목표/Tolerance 기반 ATT 반복 보정이 Interlock/Stage 회피를 포함해 정상 종료·강제 종료·Timeout으로 구분된다.</x:v>
      </x:c>
      <x:c r="L52" s="83" t="str">
        <x:v>16, 31, 43, 56, 105</x:v>
      </x:c>
      <x:c r="M52" s="83" t="str">
        <x:v>E-UI-MONITOR, E-POWERMETER, E-SEQUENCE</x:v>
      </x:c>
      <x:c r="N52" s="84" t="n">
        <x:v>0.76</x:v>
      </x:c>
      <x:c r="O52" s="83" t="str">
        <x:v>유사하나 불충분</x:v>
      </x:c>
      <x:c r="P52" s="83" t="str">
        <x:v>유사 UI/기초 로직은 있으나 고객 대상·조건·데이터·적용방식이 달라 사양확정과 전용 로직·검증이 필요</x:v>
      </x:c>
      <x:c r="Q52" s="83" t="str">
        <x:v>09-04</x:v>
      </x:c>
      <x:c r="R52" s="83" t="str">
        <x:v>26' 11월 4주</x:v>
      </x:c>
      <x:c r="S52" s="83" t="str">
        <x:v>코드 회귀→통신/Sequence 오류주입→실장비 수용시험</x:v>
      </x:c>
      <x:c r="T52" s="83" t="str">
        <x:f>IF(COUNTIF($C$6:$C$56,C52)=1,"정상","중복")</x:f>
        <x:v>정상</x:v>
      </x:c>
      <x:c r="U52" s="83" t="str">
        <x:f>IF(Q52&lt;&gt;"","연결","누락")</x:f>
        <x:v>연결</x:v>
      </x:c>
    </x:row>
    <x:row r="53" ht="42" customHeight="1">
      <x:c r="A53" s="83" t="n">
        <x:v>48</x:v>
      </x:c>
      <x:c r="B53" s="83" t="str">
        <x:v>3.5 시스템 설정 
(System Settings)</x:v>
      </x:c>
      <x:c r="C53" s="83" t="str">
        <x:v>SS-005</x:v>
      </x:c>
      <x:c r="D53" s="83" t="str">
        <x:v>파워 측정 데이터 표시</x:v>
      </x:c>
      <x:c r="E53" s="83" t="str">
        <x:v>· 파워미터 실시간 측정값 및 최종 결과값 표기</x:v>
      </x:c>
      <x:c r="F53" s="83" t="str"/>
      <x:c r="G53" s="83" t="str"/>
      <x:c r="H53" s="83" t="str">
        <x:v>SDC 의견수렴</x:v>
      </x:c>
      <x:c r="I53" s="83" t="str">
        <x:v>[SS-005] 파워 측정 데이터 표시: · 파워미터 실시간 측정값 및 최종 결과값 표기 / 입력·상태·오류·복구·저장·검증 조건을 명시하여 파워 측정 데이터 표시의 정상·경계·오류·복구 경로가 Sequence/Driver에 연결되고, 설정 재로딩·로그·시험증빙으로 원문 상세 요구를 충족한다.</x:v>
      </x:c>
      <x:c r="J53" s="83" t="str">
        <x:v>Setting/Monitor UI, Device Driver, Interlock, Config Repository</x:v>
      </x:c>
      <x:c r="K53" s="83" t="str">
        <x:v>파워 측정 데이터 표시의 정상·경계·오류·복구 경로가 Sequence/Driver에 연결되고, 설정 재로딩·로그·시험증빙으로 원문 상세 요구를 충족한다.</x:v>
      </x:c>
      <x:c r="L53" s="83" t="str">
        <x:v>16, 31, 43, 105</x:v>
      </x:c>
      <x:c r="M53" s="83" t="str">
        <x:v>E-UI-MONITOR, E-POWERMETER</x:v>
      </x:c>
      <x:c r="N53" s="84" t="n">
        <x:v>0.75</x:v>
      </x:c>
      <x:c r="O53" s="83" t="str">
        <x:v>부분 반영</x:v>
      </x:c>
      <x:c r="P53" s="83" t="str">
        <x:v>일부 구현은 확인되나 실장비 연동, Timeout/Alarm/Recovery, 저장·복원 또는 고객 수용시험 증빙이 부족</x:v>
      </x:c>
      <x:c r="Q53" s="83" t="str">
        <x:v>09-03</x:v>
      </x:c>
      <x:c r="R53" s="83" t="str">
        <x:v>26' 11월 1주</x:v>
      </x:c>
      <x:c r="S53" s="83" t="str">
        <x:v>코드 회귀→통신/Sequence 오류주입→실장비 수용시험</x:v>
      </x:c>
      <x:c r="T53" s="83" t="str">
        <x:f>IF(COUNTIF($C$6:$C$56,C53)=1,"정상","중복")</x:f>
        <x:v>정상</x:v>
      </x:c>
      <x:c r="U53" s="83" t="str">
        <x:f>IF(Q53&lt;&gt;"","연결","누락")</x:f>
        <x:v>연결</x:v>
      </x:c>
    </x:row>
    <x:row r="54" ht="42" customHeight="1">
      <x:c r="A54" s="83" t="n">
        <x:v>49</x:v>
      </x:c>
      <x:c r="B54" s="83" t="str">
        <x:v>3.5 시스템 설정 
(System Settings)</x:v>
      </x:c>
      <x:c r="C54" s="83" t="str">
        <x:v>SS-006</x:v>
      </x:c>
      <x:c r="D54" s="83" t="str">
        <x:v>Attenuator 제어</x:v>
      </x:c>
      <x:c r="E54" s="83" t="str">
        <x:v>· Head 별 최소/최대 각도 제한 표시
· 현재/세팅 위치 표기
· 목표 위치 이동 (개별/전체)
· Reset, Origin, Error Code 표시</x:v>
      </x:c>
      <x:c r="F54" s="83" t="str"/>
      <x:c r="G54" s="83" t="str"/>
      <x:c r="H54" s="83" t="str">
        <x:v>SDC 의견수렴</x:v>
      </x:c>
      <x:c r="I54" s="83" t="str">
        <x:v>[SS-006] Attenuator 제어: · Head 별 최소/최대 각도 제한 표시
· 현재/세팅 위치 표기
· 목표 위치 이동 (개별/전체)
· Reset, Origin, Error Code 표시 / 입력·상태·오류·복구·저장·검증 조건을 명시하여 Attenuator 제어의 정상·경계·오류·복구 경로가 Sequence/Driver에 연결되고, 설정 재로딩·로그·시험증빙으로 원문 상세 요구를 충족한다.</x:v>
      </x:c>
      <x:c r="J54" s="83" t="str">
        <x:v>Setting/Monitor UI, Device Driver, Interlock, Config Repository</x:v>
      </x:c>
      <x:c r="K54" s="83" t="str">
        <x:v>Attenuator 제어의 정상·경계·오류·복구 경로가 Sequence/Driver에 연결되고, 설정 재로딩·로그·시험증빙으로 원문 상세 요구를 충족한다.</x:v>
      </x:c>
      <x:c r="L54" s="83" t="str">
        <x:v>20, 30, 102</x:v>
      </x:c>
      <x:c r="M54" s="83" t="str">
        <x:v>E-UI-MONITOR, E-ATT</x:v>
      </x:c>
      <x:c r="N54" s="84" t="n">
        <x:v>0.77</x:v>
      </x:c>
      <x:c r="O54" s="83" t="str">
        <x:v>부분 반영</x:v>
      </x:c>
      <x:c r="P54" s="83" t="str">
        <x:v>일부 구현은 확인되나 실장비 연동, Timeout/Alarm/Recovery, 저장·복원 또는 고객 수용시험 증빙이 부족</x:v>
      </x:c>
      <x:c r="Q54" s="83" t="str">
        <x:v>09-02</x:v>
      </x:c>
      <x:c r="R54" s="83" t="str">
        <x:v>26' 11월 1주</x:v>
      </x:c>
      <x:c r="S54" s="83" t="str">
        <x:v>코드 회귀→통신/Sequence 오류주입→실장비 수용시험</x:v>
      </x:c>
      <x:c r="T54" s="83" t="str">
        <x:f>IF(COUNTIF($C$6:$C$56,C54)=1,"정상","중복")</x:f>
        <x:v>정상</x:v>
      </x:c>
      <x:c r="U54" s="83" t="str">
        <x:f>IF(Q54&lt;&gt;"","연결","누락")</x:f>
        <x:v>연결</x:v>
      </x:c>
    </x:row>
    <x:row r="55" ht="42" customHeight="1">
      <x:c r="A55" s="83" t="n">
        <x:v>50</x:v>
      </x:c>
      <x:c r="B55" s="83" t="str">
        <x:v>3.5 시스템 설정 
(System Settings)</x:v>
      </x:c>
      <x:c r="C55" s="83" t="str">
        <x:v>SS-007</x:v>
      </x:c>
      <x:c r="D55" s="83" t="str">
        <x:v>통신 관리</x:v>
      </x:c>
      <x:c r="E55" s="83" t="str">
        <x:v>· 시리얼 및 TCP/IP 통신 상태 모니터링과 수동 연결/해제 기능</x:v>
      </x:c>
      <x:c r="F55" s="83" t="str">
        <x:v>Process Melsec Map 요청</x:v>
      </x:c>
      <x:c r="G55" s="83" t="str"/>
      <x:c r="H55" s="83" t="str">
        <x:v>SDC 의견수렴</x:v>
      </x:c>
      <x:c r="I55" s="83" t="str">
        <x:v>[SS-007] 통신 관리: · 시리얼 및 TCP/IP 통신 상태 모니터링과 수동 연결/해제 기능 / 입력·상태·오류·복구·저장·검증 조건을 명시하여 통신 관리의 정상·경계·오류·복구 경로가 Sequence/Driver에 연결되고, 설정 재로딩·로그·시험증빙으로 원문 상세 요구를 충족한다.</x:v>
      </x:c>
      <x:c r="J55" s="83" t="str">
        <x:v>Setting/Monitor UI, Device Driver, Interlock, Config Repository</x:v>
      </x:c>
      <x:c r="K55" s="83" t="str">
        <x:v>통신 관리의 정상·경계·오류·복구 경로가 Sequence/Driver에 연결되고, 설정 재로딩·로그·시험증빙으로 원문 상세 요구를 충족한다.</x:v>
      </x:c>
      <x:c r="L55" s="83" t="str">
        <x:v>22, 23, 24, 25, 26, 27, 28, 29, 30, 31, 32, 33, 34, 38</x:v>
      </x:c>
      <x:c r="M55" s="83" t="str">
        <x:v>E-SERIAL, E-SOCKET, E-PLC, E-XPS, E-LASER, E-PICO, E-CHILLER, E-BET, E-ATT, E-POWERMETER, E-REVIEW, E-AUTOMATION, E-IF-MANAGER</x:v>
      </x:c>
      <x:c r="N55" s="84" t="n">
        <x:v>0.76</x:v>
      </x:c>
      <x:c r="O55" s="83" t="str">
        <x:v>부분 반영</x:v>
      </x:c>
      <x:c r="P55" s="83" t="str">
        <x:v>일부 구현은 확인되나 실장비 연동, Timeout/Alarm/Recovery, 저장·복원 또는 고객 수용시험 증빙이 부족</x:v>
      </x:c>
      <x:c r="Q55" s="83" t="str">
        <x:v>03-07</x:v>
      </x:c>
      <x:c r="R55" s="83" t="str">
        <x:v>26' 10월 1주</x:v>
      </x:c>
      <x:c r="S55" s="83" t="str">
        <x:v>코드 회귀→통신/Sequence 오류주입→실장비 수용시험</x:v>
      </x:c>
      <x:c r="T55" s="83" t="str">
        <x:f>IF(COUNTIF($C$6:$C$56,C55)=1,"정상","중복")</x:f>
        <x:v>정상</x:v>
      </x:c>
      <x:c r="U55" s="83" t="str">
        <x:f>IF(Q55&lt;&gt;"","연결","누락")</x:f>
        <x:v>연결</x:v>
      </x:c>
    </x:row>
    <x:row r="56" ht="42" customHeight="1">
      <x:c r="A56" s="83" t="n">
        <x:v>51</x:v>
      </x:c>
      <x:c r="B56" s="83" t="str">
        <x:v>3.5 시스템 설정 
(System Settings)</x:v>
      </x:c>
      <x:c r="C56" s="83" t="str">
        <x:v>SS-008</x:v>
      </x:c>
      <x:c r="D56" s="83" t="str">
        <x:v>운영 환경 설정</x:v>
      </x:c>
      <x:c r="E56" s="83" t="str">
        <x:v>· Tolerance Limit 및 인터락 설정
· Option 기능 선택
· 타임 아웃 설정
· 보호윈도우 교체 기준 설정
· 리뷰 기준 위치 세팅(Master-Front Align Key 위치)</x:v>
      </x:c>
      <x:c r="F56" s="83" t="str">
        <x:v>내용 설명요청</x:v>
      </x:c>
      <x:c r="G56" s="83" t="str"/>
      <x:c r="H56" s="83" t="str">
        <x:v>SDC 의견수렴</x:v>
      </x:c>
      <x:c r="I56" s="83" t="str">
        <x:v>[SS-008] 운영 환경 설정: · Tolerance Limit 및 인터락 설정
· Option 기능 선택
· 타임 아웃 설정
· 보호윈도우 교체 기준 설정
· 리뷰 기준 위치 세팅(Master-Front Align Key 위치) / 입력·상태·오류·복구·저장·검증 조건을 명시하여 운영 환경 설정의 정상·경계·오류·복구 경로가 Sequence/Driver에 연결되고, 설정 재로딩·로그·시험증빙으로 원문 상세 요구를 충족한다.</x:v>
      </x:c>
      <x:c r="J56" s="83" t="str">
        <x:v>Setting/Monitor UI, Device Driver, Interlock, Config Repository</x:v>
      </x:c>
      <x:c r="K56" s="83" t="str">
        <x:v>운영 환경 설정의 정상·경계·오류·복구 경로가 Sequence/Driver에 연결되고, 설정 재로딩·로그·시험증빙으로 원문 상세 요구를 충족한다.</x:v>
      </x:c>
      <x:c r="L56" s="83" t="str">
        <x:v>10, 11, 41, 63, 100, 101</x:v>
      </x:c>
      <x:c r="M56" s="83" t="str">
        <x:v>E-UI-SETTING, E-SETTING-FILE, E-INTERLOCK</x:v>
      </x:c>
      <x:c r="N56" s="84" t="n">
        <x:v>0.84</x:v>
      </x:c>
      <x:c r="O56" s="83" t="str">
        <x:v>부분 반영</x:v>
      </x:c>
      <x:c r="P56" s="83" t="str">
        <x:v>일부 구현은 확인되나 실장비 연동, Timeout/Alarm/Recovery, 저장·복원 또는 고객 수용시험 증빙이 부족</x:v>
      </x:c>
      <x:c r="Q56" s="83" t="str">
        <x:v>01-06, 02-04, 10-04</x:v>
      </x:c>
      <x:c r="R56" s="83" t="str">
        <x:v>26' 11월 3주</x:v>
      </x:c>
      <x:c r="S56" s="83" t="str">
        <x:v>코드 회귀→통신/Sequence 오류주입→실장비 수용시험</x:v>
      </x:c>
      <x:c r="T56" s="83" t="str">
        <x:f>IF(COUNTIF($C$6:$C$56,C56)=1,"정상","중복")</x:f>
        <x:v>정상</x:v>
      </x:c>
      <x:c r="U56" s="83" t="str">
        <x:f>IF(Q56&lt;&gt;"","연결","누락")</x:f>
        <x:v>연결</x:v>
      </x:c>
    </x:row>
  </x:sheetData>
  <x:mergeCells>
    <x:mergeCell ref="A1:U1"/>
    <x:mergeCell ref="A2:U2"/>
  </x:mergeCells>
  <x:conditionalFormatting sqref="O6:O56">
    <x:cfRule type="containsText" dxfId="0" priority="1" operator="containsText" text="완전 반영"/>
    <x:cfRule type="containsText" dxfId="1" priority="2" operator="containsText" text="부분 반영"/>
    <x:cfRule type="containsText" dxfId="2" priority="3" operator="containsText" text="유사하나 불충분"/>
    <x:cfRule type="containsText" dxfId="3" priority="4" operator="containsText" text="미반영"/>
    <x:cfRule type="containsText" dxfId="4" priority="5" operator="containsText" text="확인 불가"/>
  </x:conditionalFormatting>
  <x:conditionalFormatting sqref="T6:U56">
    <x:cfRule type="containsText" dxfId="5" priority="6" operator="containsText" text="중복"/>
    <x:cfRule type="containsText" dxfId="6" priority="7" operator="containsText" text="누락"/>
  </x:conditionalFormatting>
  <x:dataValidations count="1">
    <x:dataValidation type="list" sqref="O6:O56">
      <x:formula1>"완전 반영,부분 반영,유사하나 불충분,미반영,확인 불가"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1f632a8b674f6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  <x:selection pane="bottomRight" activeCell="D6" sqref="D6"/>
    </x:sheetView>
  </x:sheetViews>
  <x:sheetFormatPr defaultRowHeight="15"/>
  <x:cols>
    <x:col min="1" max="1" width="8" hidden="0" customWidth="1"/>
    <x:col min="2" max="2" width="12" hidden="0" customWidth="1"/>
    <x:col min="3" max="3" width="25" hidden="0" customWidth="1"/>
    <x:col min="4" max="4" width="42" hidden="0" customWidth="1"/>
    <x:col min="5" max="5" width="12" hidden="0" customWidth="1"/>
    <x:col min="6" max="6" width="12" hidden="0" customWidth="1"/>
    <x:col min="7" max="7" width="10" hidden="0" customWidth="1"/>
    <x:col min="8" max="8" width="38" hidden="0" customWidth="1"/>
    <x:col min="9" max="9" width="20" hidden="0" customWidth="1"/>
    <x:col min="10" max="10" width="24" hidden="0" customWidth="1"/>
    <x:col min="11" max="11" width="13" hidden="0" customWidth="1"/>
    <x:col min="12" max="12" width="15" hidden="0" customWidth="1"/>
    <x:col min="13" max="13" width="42" hidden="0" customWidth="1"/>
    <x:col min="14" max="14" width="42" hidden="0" customWidth="1"/>
    <x:col min="15" max="15" width="32" hidden="0" customWidth="1"/>
    <x:col min="16" max="16" width="20" hidden="0" customWidth="1"/>
    <x:col min="17" max="17" width="18" hidden="0" customWidth="1"/>
    <x:col min="18" max="18" width="12" hidden="0" customWidth="1"/>
    <x:col min="19" max="19" width="12" hidden="0" customWidth="1"/>
  </x:cols>
  <x:sheetData>
    <x:row r="1" ht="30" customHeight="1">
      <x:c r="A1" s="62" t="str">
        <x:v>02 내부개발현황 120개 및 코드 검증</x:v>
      </x:c>
      <x:c r="B1" s="63"/>
      <x:c r="C1" s="63"/>
      <x:c r="D1" s="63"/>
      <x:c r="E1" s="63"/>
      <x:c r="F1" s="63"/>
      <x:c r="G1" s="63"/>
      <x:c r="H1" s="63"/>
      <x:c r="I1" s="63"/>
      <x:c r="J1" s="63"/>
      <x:c r="K1" s="63"/>
      <x:c r="L1" s="63"/>
      <x:c r="M1" s="63"/>
      <x:c r="N1" s="63"/>
      <x:c r="O1" s="63"/>
      <x:c r="P1" s="63"/>
      <x:c r="Q1" s="63"/>
      <x:c r="R1" s="63"/>
      <x:c r="S1" s="64"/>
    </x:row>
    <x:row r="2" ht="26" customHeight="1">
      <x:c r="A2" s="67" t="str">
        <x:v>원본 보고값 보존 | 실측 분류 UI21/통신13/File·Data12/Sequence16/Alarm6/Log7/기능45 (요청서 예상치와 차이 별도 기록)</x:v>
      </x:c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</x:row>
    <x:row r="3">
      <x:c r="A3" s="71" t="str">
        <x:v>전체</x:v>
      </x:c>
      <x:c r="B3" s="71" t="str"/>
      <x:c r="C3" s="71" t="str">
        <x:v>완료</x:v>
      </x:c>
      <x:c r="D3" s="71" t="str"/>
      <x:c r="E3" s="71" t="str">
        <x:v>진행 중</x:v>
      </x:c>
      <x:c r="F3" s="71" t="str"/>
      <x:c r="G3" s="71" t="str">
        <x:v>예정</x:v>
      </x:c>
      <x:c r="H3" s="71" t="str"/>
      <x:c r="I3" s="71" t="str">
        <x:v>P1</x:v>
      </x:c>
      <x:c r="J3" s="71" t="str"/>
      <x:c r="K3" s="71" t="str">
        <x:v>P2</x:v>
      </x:c>
      <x:c r="L3" s="71" t="str"/>
      <x:c r="M3" s="71" t="str">
        <x:v>P3</x:v>
      </x:c>
      <x:c r="N3" s="71" t="str"/>
      <x:c r="O3" s="71" t="str">
        <x:v>번호누락</x:v>
      </x:c>
      <x:c r="P3" s="71" t="str"/>
      <x:c r="Q3" s="71" t="str">
        <x:v>번호중복</x:v>
      </x:c>
      <x:c r="R3" s="71" t="str"/>
      <x:c r="S3" s="71" t="str"/>
    </x:row>
    <x:row r="4">
      <x:c r="A4" s="74" t="n">
        <x:f>COUNTA(A6:A125)</x:f>
        <x:v>120</x:v>
      </x:c>
      <x:c r="B4" s="74" t="str"/>
      <x:c r="C4" s="74" t="n">
        <x:f>COUNTIF(F6:F125,"완료")</x:f>
        <x:v>16</x:v>
      </x:c>
      <x:c r="D4" s="74" t="str"/>
      <x:c r="E4" s="74" t="n">
        <x:f>COUNTIF(F6:F125,"진행 중")</x:f>
        <x:v>70</x:v>
      </x:c>
      <x:c r="F4" s="74" t="str"/>
      <x:c r="G4" s="74" t="n">
        <x:f>COUNTIF(F6:F125,"예정")</x:f>
        <x:v>34</x:v>
      </x:c>
      <x:c r="H4" s="74" t="str"/>
      <x:c r="I4" s="74" t="n">
        <x:f>COUNTIF(G6:G125,"P1")</x:f>
        <x:v>35</x:v>
      </x:c>
      <x:c r="J4" s="74" t="str"/>
      <x:c r="K4" s="74" t="n">
        <x:f>COUNTIF(G6:G125,"P2")</x:f>
        <x:v>28</x:v>
      </x:c>
      <x:c r="L4" s="74" t="str"/>
      <x:c r="M4" s="74" t="n">
        <x:f>COUNTIF(G6:G125,"P3")</x:f>
        <x:v>57</x:v>
      </x:c>
      <x:c r="N4" s="74" t="str"/>
      <x:c r="O4" s="74" t="n">
        <x:f>120-SUMPRODUCT(--(COUNTIF(A6:A125,ROW(INDIRECT("1:120")))&gt;0))</x:f>
        <x:v>119</x:v>
      </x:c>
      <x:c r="P4" s="74" t="str"/>
      <x:c r="Q4" s="74" t="n">
        <x:f>SUMPRODUCT(--(COUNTIF(A6:A125,A6:A125)&gt;1))</x:f>
        <x:v>0</x:v>
      </x:c>
      <x:c r="R4" s="74" t="str"/>
      <x:c r="S4" s="74" t="str"/>
    </x:row>
    <x:row r="5" ht="30" customHeight="1">
      <x:c r="A5" s="16" t="str">
        <x:v>원본 번호</x:v>
      </x:c>
      <x:c r="B5" s="16" t="str">
        <x:v>분류</x:v>
      </x:c>
      <x:c r="C5" s="16" t="str">
        <x:v>기능명</x:v>
      </x:c>
      <x:c r="D5" s="16" t="str">
        <x:v>상세기능</x:v>
      </x:c>
      <x:c r="E5" s="16" t="str">
        <x:v>보고 진행률</x:v>
      </x:c>
      <x:c r="F5" s="16" t="str">
        <x:v>보고 상태</x:v>
      </x:c>
      <x:c r="G5" s="16" t="str">
        <x:v>우선순위</x:v>
      </x:c>
      <x:c r="H5" s="16" t="str">
        <x:v>원본 개발현황</x:v>
      </x:c>
      <x:c r="I5" s="16" t="str">
        <x:v>관련 고객 요구ID</x:v>
      </x:c>
      <x:c r="J5" s="16" t="str">
        <x:v>Git 코드 확인상태</x:v>
      </x:c>
      <x:c r="K5" s="16" t="str">
        <x:v>코드 검증 진행률</x:v>
      </x:c>
      <x:c r="L5" s="16" t="str">
        <x:v>차이</x:v>
      </x:c>
      <x:c r="M5" s="16" t="str">
        <x:v>차이 및 판단 근거</x:v>
      </x:c>
      <x:c r="N5" s="16" t="str">
        <x:v>잔여작업/추가 확인</x:v>
      </x:c>
      <x:c r="O5" s="16" t="str">
        <x:v>검증방법</x:v>
      </x:c>
      <x:c r="P5" s="16" t="str">
        <x:v>Master Plan WBS ID</x:v>
      </x:c>
      <x:c r="Q5" s="16" t="str">
        <x:v>코드근거 ID</x:v>
      </x:c>
      <x:c r="R5" s="16" t="str">
        <x:v>번호 중복</x:v>
      </x:c>
      <x:c r="S5" s="16" t="str">
        <x:v>번호 범위</x:v>
      </x:c>
    </x:row>
    <x:row r="6" ht="42" customHeight="1">
      <x:c r="A6" s="83" t="n">
        <x:v>1</x:v>
      </x:c>
      <x:c r="B6" s="83" t="str">
        <x:v>UI</x:v>
      </x:c>
      <x:c r="C6" s="83" t="str">
        <x:v>Main 화면 - Sequence 진행 상태 표시 영역 구현</x:v>
      </x:c>
      <x:c r="D6" s="83" t="str">
        <x:v>Sequence 진행 상태를 표시하는 영역 구현</x:v>
      </x:c>
      <x:c r="E6" s="84" t="n">
        <x:v>0.8</x:v>
      </x:c>
      <x:c r="F6" s="83" t="str">
        <x:v>진행 중</x:v>
      </x:c>
      <x:c r="G6" s="83" t="str">
        <x:v>P2</x:v>
      </x:c>
      <x:c r="H6" s="83" t="str">
        <x:v>주요 기능 구현 완료. 장비 연동 및 통합 시험을 통해 안정화 예정.</x:v>
      </x:c>
      <x:c r="I6" s="83" t="str">
        <x:v>AM-008, AM-009</x:v>
      </x:c>
      <x:c r="J6" s="83" t="str">
        <x:v>부분 구현 확인</x:v>
      </x:c>
      <x:c r="K6" s="84" t="n">
        <x:v>0.8</x:v>
      </x:c>
      <x:c r="L6" s="83" t="str">
        <x:v>0%p (보고-코드)</x:v>
      </x:c>
      <x:c r="M6" s="83" t="str">
        <x:v>Sequence/Interlock/Preview/Optic 상태를 ViewModel로 구성</x:v>
      </x:c>
      <x:c r="N6" s="83" t="str">
        <x:v>장비 End-to-End 및 고객 수용시험 미수행</x:v>
      </x:c>
      <x:c r="O6" s="83" t="str">
        <x:v>코드완성→단위시험→통합/실장비 검증</x:v>
      </x:c>
      <x:c r="P6" s="83" t="str">
        <x:v>02-01, 05-02, 02-04</x:v>
      </x:c>
      <x:c r="Q6" s="83" t="str">
        <x:v>E-UI-MAIN</x:v>
      </x:c>
      <x:c r="R6" s="83" t="str">
        <x:f>IF(COUNTIF($A$6:$A$125,A6)=1,"정상","중복")</x:f>
        <x:v>정상</x:v>
      </x:c>
      <x:c r="S6" s="83" t="str">
        <x:f>IF(AND(A6&gt;=1,A6&lt;=120),"정상","범위 오류")</x:f>
        <x:v>정상</x:v>
      </x:c>
    </x:row>
    <x:row r="7" ht="42" customHeight="1">
      <x:c r="A7" s="83" t="n">
        <x:v>2</x:v>
      </x:c>
      <x:c r="B7" s="83" t="str">
        <x:v>UI</x:v>
      </x:c>
      <x:c r="C7" s="83" t="str">
        <x:v>Main 화면 - Safety 상태 표시 영역 구현</x:v>
      </x:c>
      <x:c r="D7" s="83" t="str">
        <x:v>Safety 상태를 표시하는 영역 구현</x:v>
      </x:c>
      <x:c r="E7" s="84" t="n">
        <x:v>0.75</x:v>
      </x:c>
      <x:c r="F7" s="83" t="str">
        <x:v>진행 중</x:v>
      </x:c>
      <x:c r="G7" s="83" t="str">
        <x:v>P3</x:v>
      </x:c>
      <x:c r="H7" s="83" t="str">
        <x:v>주요 기능 구현 완료. 장비 연동 및 통합 시험을 통해 안정화 예정.</x:v>
      </x:c>
      <x:c r="I7" s="83" t="str">
        <x:v>AM-007</x:v>
      </x:c>
      <x:c r="J7" s="83" t="str">
        <x:v>부분 구현 확인</x:v>
      </x:c>
      <x:c r="K7" s="84" t="n">
        <x:v>0.8</x:v>
      </x:c>
      <x:c r="L7" s="83" t="str">
        <x:v>-5%p (보고-코드)</x:v>
      </x:c>
      <x:c r="M7" s="83" t="str">
        <x:v>Sequence/Interlock/Preview/Optic 상태를 ViewModel로 구성</x:v>
      </x:c>
      <x:c r="N7" s="83" t="str">
        <x:v>장비 End-to-End 및 고객 수용시험 미수행</x:v>
      </x:c>
      <x:c r="O7" s="83" t="str">
        <x:v>코드완성→단위시험→통합/실장비 검증</x:v>
      </x:c>
      <x:c r="P7" s="83" t="str">
        <x:v>10-01, 02-01</x:v>
      </x:c>
      <x:c r="Q7" s="83" t="str">
        <x:v>E-UI-MAIN</x:v>
      </x:c>
      <x:c r="R7" s="83" t="str">
        <x:f>IF(COUNTIF($A$6:$A$125,A7)=1,"정상","중복")</x:f>
        <x:v>정상</x:v>
      </x:c>
      <x:c r="S7" s="83" t="str">
        <x:f>IF(AND(A7&gt;=1,A7&lt;=120),"정상","범위 오류")</x:f>
        <x:v>정상</x:v>
      </x:c>
    </x:row>
    <x:row r="8" ht="42" customHeight="1">
      <x:c r="A8" s="83" t="n">
        <x:v>3</x:v>
      </x:c>
      <x:c r="B8" s="83" t="str">
        <x:v>UI</x:v>
      </x:c>
      <x:c r="C8" s="83" t="str">
        <x:v>Main 화면 - Head별 가공도면 표시 영역 구현</x:v>
      </x:c>
      <x:c r="D8" s="83" t="str">
        <x:v>Head별 가공도면을 표시하는 영역 구현</x:v>
      </x:c>
      <x:c r="E8" s="84" t="n">
        <x:v>0.9</x:v>
      </x:c>
      <x:c r="F8" s="83" t="str">
        <x:v>완료</x:v>
      </x:c>
      <x:c r="G8" s="83" t="str">
        <x:v>P3</x:v>
      </x:c>
      <x:c r="H8" s="83" t="str">
        <x:v>주요 기능 구현 완료. 운영 조건 및 실장비 최종 확인 예정.</x:v>
      </x:c>
      <x:c r="I8" s="83" t="str"/>
      <x:c r="J8" s="83" t="str">
        <x:v>부분 구현 확인</x:v>
      </x:c>
      <x:c r="K8" s="84" t="n">
        <x:v>0.82</x:v>
      </x:c>
      <x:c r="L8" s="83" t="str">
        <x:v>+8%p (보고-코드)</x:v>
      </x:c>
      <x:c r="M8" s="83" t="str">
        <x:v>Sequence/Interlock/Preview/Optic 상태를 ViewModel로 구성</x:v>
      </x:c>
      <x:c r="N8" s="83" t="str">
        <x:v>장비 End-to-End 및 고객 수용시험 미수행</x:v>
      </x:c>
      <x:c r="O8" s="83" t="str">
        <x:v>코드완성→단위시험→통합/실장비 검증</x:v>
      </x:c>
      <x:c r="P8" s="83" t="str">
        <x:v>11-08</x:v>
      </x:c>
      <x:c r="Q8" s="83" t="str">
        <x:v>E-UI-MAIN</x:v>
      </x:c>
      <x:c r="R8" s="83" t="str">
        <x:f>IF(COUNTIF($A$6:$A$125,A8)=1,"정상","중복")</x:f>
        <x:v>정상</x:v>
      </x:c>
      <x:c r="S8" s="83" t="str">
        <x:f>IF(AND(A8&gt;=1,A8&lt;=120),"정상","범위 오류")</x:f>
        <x:v>정상</x:v>
      </x:c>
    </x:row>
    <x:row r="9" ht="42" customHeight="1">
      <x:c r="A9" s="83" t="n">
        <x:v>4</x:v>
      </x:c>
      <x:c r="B9" s="83" t="str">
        <x:v>UI</x:v>
      </x:c>
      <x:c r="C9" s="83" t="str">
        <x:v>Main 화면 - Auto Run Start/Stop 버튼 구현</x:v>
      </x:c>
      <x:c r="D9" s="83" t="str">
        <x:v>Auto Run Start/Stop 버튼 구현</x:v>
      </x:c>
      <x:c r="E9" s="84" t="n">
        <x:v>0.8</x:v>
      </x:c>
      <x:c r="F9" s="83" t="str">
        <x:v>진행 중</x:v>
      </x:c>
      <x:c r="G9" s="83" t="str">
        <x:v>P3</x:v>
      </x:c>
      <x:c r="H9" s="83" t="str">
        <x:v>주요 기능 구현 완료. 장비 연동 및 통합 시험을 통해 안정화 예정.</x:v>
      </x:c>
      <x:c r="I9" s="83" t="str">
        <x:v>AM-013</x:v>
      </x:c>
      <x:c r="J9" s="83" t="str">
        <x:v>부분 구현 확인</x:v>
      </x:c>
      <x:c r="K9" s="84" t="n">
        <x:v>0.78</x:v>
      </x:c>
      <x:c r="L9" s="83" t="str">
        <x:v>+2%p (보고-코드)</x:v>
      </x:c>
      <x:c r="M9" s="83" t="str">
        <x:v>Sequence/Interlock/Preview/Optic 상태를 ViewModel로 구성</x:v>
      </x:c>
      <x:c r="N9" s="83" t="str">
        <x:v>장비 End-to-End 및 고객 수용시험 미수행</x:v>
      </x:c>
      <x:c r="O9" s="83" t="str">
        <x:v>코드완성→단위시험→통합/실장비 검증</x:v>
      </x:c>
      <x:c r="P9" s="83" t="str">
        <x:v>05-04</x:v>
      </x:c>
      <x:c r="Q9" s="83" t="str">
        <x:v>E-UI-MAIN</x:v>
      </x:c>
      <x:c r="R9" s="83" t="str">
        <x:f>IF(COUNTIF($A$6:$A$125,A9)=1,"정상","중복")</x:f>
        <x:v>정상</x:v>
      </x:c>
      <x:c r="S9" s="83" t="str">
        <x:f>IF(AND(A9&gt;=1,A9&lt;=120),"정상","범위 오류")</x:f>
        <x:v>정상</x:v>
      </x:c>
    </x:row>
    <x:row r="10" ht="42" customHeight="1">
      <x:c r="A10" s="83" t="n">
        <x:v>5</x:v>
      </x:c>
      <x:c r="B10" s="83" t="str">
        <x:v>UI</x:v>
      </x:c>
      <x:c r="C10" s="83" t="str">
        <x:v>Manual 화면 - Scanner 화면 구현</x:v>
      </x:c>
      <x:c r="D10" s="83" t="str">
        <x:v>Scanner 단위 동작 기능을 제공하는 화면 구현</x:v>
      </x:c>
      <x:c r="E10" s="84" t="n">
        <x:v>0.75</x:v>
      </x:c>
      <x:c r="F10" s="83" t="str">
        <x:v>진행 중</x:v>
      </x:c>
      <x:c r="G10" s="83" t="str">
        <x:v>P2</x:v>
      </x:c>
      <x:c r="H10" s="83" t="str">
        <x:v>주요 기능 구현 완료. 장비 연동 및 통합 시험을 통해 안정화 예정.</x:v>
      </x:c>
      <x:c r="I10" s="83" t="str">
        <x:v>MM-004, MM-009</x:v>
      </x:c>
      <x:c r="J10" s="83" t="str">
        <x:v>부분 구현 확인</x:v>
      </x:c>
      <x:c r="K10" s="84" t="n">
        <x:v>0.76</x:v>
      </x:c>
      <x:c r="L10" s="83" t="str">
        <x:v>-1%p (보고-코드)</x:v>
      </x:c>
      <x:c r="M10" s="83" t="str">
        <x:v>Stage/Scanner/Vision 명령과 수동 패턴 Script 생성 로직 확인</x:v>
      </x:c>
      <x:c r="N10" s="83" t="str">
        <x:v>Stage/Vision 실장비 및 IOF/PtoP/TEG 동작 미검증</x:v>
      </x:c>
      <x:c r="O10" s="83" t="str">
        <x:v>코드완성→단위시험→통합/실장비 검증</x:v>
      </x:c>
      <x:c r="P10" s="83" t="str">
        <x:v>06-02, 08-08</x:v>
      </x:c>
      <x:c r="Q10" s="83" t="str">
        <x:v>E-UI-MANUAL</x:v>
      </x:c>
      <x:c r="R10" s="83" t="str">
        <x:f>IF(COUNTIF($A$6:$A$125,A10)=1,"정상","중복")</x:f>
        <x:v>정상</x:v>
      </x:c>
      <x:c r="S10" s="83" t="str">
        <x:f>IF(AND(A10&gt;=1,A10&lt;=120),"정상","범위 오류")</x:f>
        <x:v>정상</x:v>
      </x:c>
    </x:row>
    <x:row r="11" ht="42" customHeight="1">
      <x:c r="A11" s="83" t="n">
        <x:v>6</x:v>
      </x:c>
      <x:c r="B11" s="83" t="str">
        <x:v>UI</x:v>
      </x:c>
      <x:c r="C11" s="83" t="str">
        <x:v>Manual 화면 - Stage 화면 구현</x:v>
      </x:c>
      <x:c r="D11" s="83" t="str">
        <x:v>Stage 단위 동작 기능을 제공하는 화면 구현</x:v>
      </x:c>
      <x:c r="E11" s="84" t="n">
        <x:v>0.15</x:v>
      </x:c>
      <x:c r="F11" s="83" t="str">
        <x:v>예정</x:v>
      </x:c>
      <x:c r="G11" s="83" t="str">
        <x:v>P1</x:v>
      </x:c>
      <x:c r="H11" s="83" t="str">
        <x:v>초기 개발 단계. 관련 사양 확정 후 우선순위에 따라 순차 개발 예정.</x:v>
      </x:c>
      <x:c r="I11" s="83" t="str">
        <x:v>MM-002, MM-007, MM-008, IC-011</x:v>
      </x:c>
      <x:c r="J11" s="83" t="str">
        <x:v>부분 구현 확인</x:v>
      </x:c>
      <x:c r="K11" s="84" t="n">
        <x:v>0.58</x:v>
      </x:c>
      <x:c r="L11" s="83" t="str">
        <x:v>-43%p (보고-코드)</x:v>
      </x:c>
      <x:c r="M11" s="83" t="str">
        <x:v>Stage/Scanner/Vision 명령과 수동 패턴 Script 생성 로직 확인</x:v>
      </x:c>
      <x:c r="N11" s="83" t="str">
        <x:v>Stage/Vision 실장비 및 IOF/PtoP/TEG 동작 미검증</x:v>
      </x:c>
      <x:c r="O11" s="83" t="str">
        <x:v>코드완성→단위시험→통합/실장비 검증</x:v>
      </x:c>
      <x:c r="P11" s="83" t="str">
        <x:v>06-01, 06-04</x:v>
      </x:c>
      <x:c r="Q11" s="83" t="str">
        <x:v>E-UI-MANUAL</x:v>
      </x:c>
      <x:c r="R11" s="83" t="str">
        <x:f>IF(COUNTIF($A$6:$A$125,A11)=1,"정상","중복")</x:f>
        <x:v>정상</x:v>
      </x:c>
      <x:c r="S11" s="83" t="str">
        <x:f>IF(AND(A11&gt;=1,A11&lt;=120),"정상","범위 오류")</x:f>
        <x:v>정상</x:v>
      </x:c>
    </x:row>
    <x:row r="12" ht="42" customHeight="1">
      <x:c r="A12" s="83" t="n">
        <x:v>7</x:v>
      </x:c>
      <x:c r="B12" s="83" t="str">
        <x:v>UI</x:v>
      </x:c>
      <x:c r="C12" s="83" t="str">
        <x:v>Manual 화면 - Vision 화면 구현</x:v>
      </x:c>
      <x:c r="D12" s="83" t="str">
        <x:v>Vision 단위 동작 기능을 제공하는 화면 구현</x:v>
      </x:c>
      <x:c r="E12" s="84" t="n">
        <x:v>0.15</x:v>
      </x:c>
      <x:c r="F12" s="83" t="str">
        <x:v>예정</x:v>
      </x:c>
      <x:c r="G12" s="83" t="str">
        <x:v>P1</x:v>
      </x:c>
      <x:c r="H12" s="83" t="str">
        <x:v>초기 개발 단계. 관련 사양 확정 후 우선순위에 따라 순차 개발 예정.</x:v>
      </x:c>
      <x:c r="I12" s="83" t="str">
        <x:v>MM-007, MM-008, IC-011</x:v>
      </x:c>
      <x:c r="J12" s="83" t="str">
        <x:v>UI/설정/기초 로직만 확인</x:v>
      </x:c>
      <x:c r="K12" s="84" t="n">
        <x:v>0.42</x:v>
      </x:c>
      <x:c r="L12" s="83" t="str">
        <x:v>-27%p (보고-코드)</x:v>
      </x:c>
      <x:c r="M12" s="83" t="str">
        <x:v>Stage/Scanner/Vision 명령과 수동 패턴 Script 생성 로직 확인</x:v>
      </x:c>
      <x:c r="N12" s="83" t="str">
        <x:v>Stage/Vision 실장비 및 IOF/PtoP/TEG 동작 미검증</x:v>
      </x:c>
      <x:c r="O12" s="83" t="str">
        <x:v>코드완성→단위시험→통합/실장비 검증</x:v>
      </x:c>
      <x:c r="P12" s="83" t="str">
        <x:v>06-04</x:v>
      </x:c>
      <x:c r="Q12" s="83" t="str">
        <x:v>E-UI-MANUAL</x:v>
      </x:c>
      <x:c r="R12" s="83" t="str">
        <x:f>IF(COUNTIF($A$6:$A$125,A12)=1,"정상","중복")</x:f>
        <x:v>정상</x:v>
      </x:c>
      <x:c r="S12" s="83" t="str">
        <x:f>IF(AND(A12&gt;=1,A12&lt;=120),"정상","범위 오류")</x:f>
        <x:v>정상</x:v>
      </x:c>
    </x:row>
    <x:row r="13" ht="42" customHeight="1">
      <x:c r="A13" s="83" t="n">
        <x:v>8</x:v>
      </x:c>
      <x:c r="B13" s="83" t="str">
        <x:v>UI</x:v>
      </x:c>
      <x:c r="C13" s="83" t="str">
        <x:v>Recipe 화면 - 파일 관리 구현</x:v>
      </x:c>
      <x:c r="D13" s="83" t="str">
        <x:v>Recipe 파일 관리 구현</x:v>
      </x:c>
      <x:c r="E13" s="84" t="n">
        <x:v>0.9</x:v>
      </x:c>
      <x:c r="F13" s="83" t="str">
        <x:v>완료</x:v>
      </x:c>
      <x:c r="G13" s="83" t="str">
        <x:v>P3</x:v>
      </x:c>
      <x:c r="H13" s="83" t="str">
        <x:v>주요 기능 구현 완료. 운영 조건 및 실장비 최종 확인 예정.</x:v>
      </x:c>
      <x:c r="I13" s="83" t="str">
        <x:v>RD-001</x:v>
      </x:c>
      <x:c r="J13" s="83" t="str">
        <x:v>부분 구현 확인</x:v>
      </x:c>
      <x:c r="K13" s="84" t="n">
        <x:v>0.84</x:v>
      </x:c>
      <x:c r="L13" s="83" t="str">
        <x:v>+6%p (보고-코드)</x:v>
      </x:c>
      <x:c r="M13" s="83" t="str">
        <x:v>Recipe 생성·저장·삭제·이름변경과 파라미터 검증 확인</x:v>
      </x:c>
      <x:c r="N13" s="83" t="str">
        <x:v>복사 시 보정데이터 포함 옵션 및 PPID 매칭 UI 미확인</x:v>
      </x:c>
      <x:c r="O13" s="83" t="str">
        <x:v>코드완성→단위시험→통합/실장비 검증</x:v>
      </x:c>
      <x:c r="P13" s="83" t="str">
        <x:v>04-01</x:v>
      </x:c>
      <x:c r="Q13" s="83" t="str">
        <x:v>E-UI-RECIPE</x:v>
      </x:c>
      <x:c r="R13" s="83" t="str">
        <x:f>IF(COUNTIF($A$6:$A$125,A13)=1,"정상","중복")</x:f>
        <x:v>정상</x:v>
      </x:c>
      <x:c r="S13" s="83" t="str">
        <x:f>IF(AND(A13&gt;=1,A13&lt;=120),"정상","범위 오류")</x:f>
        <x:v>정상</x:v>
      </x:c>
    </x:row>
    <x:row r="14" ht="42" customHeight="1">
      <x:c r="A14" s="83" t="n">
        <x:v>9</x:v>
      </x:c>
      <x:c r="B14" s="83" t="str">
        <x:v>UI</x:v>
      </x:c>
      <x:c r="C14" s="83" t="str">
        <x:v>Recipe 화면 - Parameter 관리 화면 구현</x:v>
      </x:c>
      <x:c r="D14" s="83" t="str">
        <x:v>Recipe Parameter 관리 화면 구현</x:v>
      </x:c>
      <x:c r="E14" s="84" t="n">
        <x:v>0.95</x:v>
      </x:c>
      <x:c r="F14" s="83" t="str">
        <x:v>완료</x:v>
      </x:c>
      <x:c r="G14" s="83" t="str">
        <x:v>P3</x:v>
      </x:c>
      <x:c r="H14" s="83" t="str">
        <x:v>주요 기능 구현 완료. 운영 조건 및 실장비 최종 확인 예정.</x:v>
      </x:c>
      <x:c r="I14" s="83" t="str">
        <x:v>RD-002, RD-003</x:v>
      </x:c>
      <x:c r="J14" s="83" t="str">
        <x:v>부분 구현 확인</x:v>
      </x:c>
      <x:c r="K14" s="84" t="n">
        <x:v>0.84</x:v>
      </x:c>
      <x:c r="L14" s="83" t="str">
        <x:v>+11%p (보고-코드)</x:v>
      </x:c>
      <x:c r="M14" s="83" t="str">
        <x:v>Recipe 생성·저장·삭제·이름변경과 파라미터 검증 확인</x:v>
      </x:c>
      <x:c r="N14" s="83" t="str">
        <x:v>복사 시 보정데이터 포함 옵션 및 PPID 매칭 UI 미확인</x:v>
      </x:c>
      <x:c r="O14" s="83" t="str">
        <x:v>코드완성→단위시험→통합/실장비 검증</x:v>
      </x:c>
      <x:c r="P14" s="83" t="str">
        <x:v>04-02, 08-05</x:v>
      </x:c>
      <x:c r="Q14" s="83" t="str">
        <x:v>E-UI-RECIPE</x:v>
      </x:c>
      <x:c r="R14" s="83" t="str">
        <x:f>IF(COUNTIF($A$6:$A$125,A14)=1,"정상","중복")</x:f>
        <x:v>정상</x:v>
      </x:c>
      <x:c r="S14" s="83" t="str">
        <x:f>IF(AND(A14&gt;=1,A14&lt;=120),"정상","범위 오류")</x:f>
        <x:v>정상</x:v>
      </x:c>
    </x:row>
    <x:row r="15" ht="42" customHeight="1">
      <x:c r="A15" s="83" t="n">
        <x:v>10</x:v>
      </x:c>
      <x:c r="B15" s="83" t="str">
        <x:v>UI</x:v>
      </x:c>
      <x:c r="C15" s="83" t="str">
        <x:v>Config 화면 - 파일 관리 구현</x:v>
      </x:c>
      <x:c r="D15" s="83" t="str">
        <x:v>Config 파일 관리 구현</x:v>
      </x:c>
      <x:c r="E15" s="84" t="n">
        <x:v>0.85</x:v>
      </x:c>
      <x:c r="F15" s="83" t="str">
        <x:v>진행 중</x:v>
      </x:c>
      <x:c r="G15" s="83" t="str">
        <x:v>P3</x:v>
      </x:c>
      <x:c r="H15" s="83" t="str">
        <x:v>주요 기능 구현 완료. 장비 연동 및 통합 시험을 통해 안정화 예정.</x:v>
      </x:c>
      <x:c r="I15" s="83" t="str">
        <x:v>AM-009, AM-016, SS-008</x:v>
      </x:c>
      <x:c r="J15" s="83" t="str">
        <x:v>부분 구현 확인</x:v>
      </x:c>
      <x:c r="K15" s="84" t="n">
        <x:v>0.82</x:v>
      </x:c>
      <x:c r="L15" s="83" t="str">
        <x:v>+3%p (보고-코드)</x:v>
      </x:c>
      <x:c r="M15" s="83" t="str">
        <x:v>설정 편집·저장·재로드·Interface 수동 연결/해제 확인</x:v>
      </x:c>
      <x:c r="N15" s="83" t="str">
        <x:v>백업/복구·보호윈도우 정책·현장 권한 검증 미완</x:v>
      </x:c>
      <x:c r="O15" s="83" t="str">
        <x:v>코드완성→단위시험→통합/실장비 검증</x:v>
      </x:c>
      <x:c r="P15" s="83" t="str">
        <x:v>02-01, 02-04, 04-06, 01-06, 10-04</x:v>
      </x:c>
      <x:c r="Q15" s="83" t="str">
        <x:v>E-UI-SETTING</x:v>
      </x:c>
      <x:c r="R15" s="83" t="str">
        <x:f>IF(COUNTIF($A$6:$A$125,A15)=1,"정상","중복")</x:f>
        <x:v>정상</x:v>
      </x:c>
      <x:c r="S15" s="83" t="str">
        <x:f>IF(AND(A15&gt;=1,A15&lt;=120),"정상","범위 오류")</x:f>
        <x:v>정상</x:v>
      </x:c>
    </x:row>
    <x:row r="16" ht="42" customHeight="1">
      <x:c r="A16" s="83" t="n">
        <x:v>11</x:v>
      </x:c>
      <x:c r="B16" s="83" t="str">
        <x:v>UI</x:v>
      </x:c>
      <x:c r="C16" s="83" t="str">
        <x:v>Config 화면 - Parameter 관리 화면 구현</x:v>
      </x:c>
      <x:c r="D16" s="83" t="str">
        <x:v>Config Parameter 관리 화면 구현</x:v>
      </x:c>
      <x:c r="E16" s="84" t="n">
        <x:v>0.9</x:v>
      </x:c>
      <x:c r="F16" s="83" t="str">
        <x:v>완료</x:v>
      </x:c>
      <x:c r="G16" s="83" t="str">
        <x:v>P3</x:v>
      </x:c>
      <x:c r="H16" s="83" t="str">
        <x:v>주요 기능 구현 완료. 운영 조건 및 실장비 최종 확인 예정.</x:v>
      </x:c>
      <x:c r="I16" s="83" t="str">
        <x:v>AM-009, AM-016, SS-008</x:v>
      </x:c>
      <x:c r="J16" s="83" t="str">
        <x:v>부분 구현 확인</x:v>
      </x:c>
      <x:c r="K16" s="84" t="n">
        <x:v>0.82</x:v>
      </x:c>
      <x:c r="L16" s="83" t="str">
        <x:v>+8%p (보고-코드)</x:v>
      </x:c>
      <x:c r="M16" s="83" t="str">
        <x:v>설정 편집·저장·재로드·Interface 수동 연결/해제 확인</x:v>
      </x:c>
      <x:c r="N16" s="83" t="str">
        <x:v>백업/복구·보호윈도우 정책·현장 권한 검증 미완</x:v>
      </x:c>
      <x:c r="O16" s="83" t="str">
        <x:v>코드완성→단위시험→통합/실장비 검증</x:v>
      </x:c>
      <x:c r="P16" s="83" t="str">
        <x:v>02-01, 02-04, 04-06, 01-06, 10-04</x:v>
      </x:c>
      <x:c r="Q16" s="83" t="str">
        <x:v>E-UI-SETTING</x:v>
      </x:c>
      <x:c r="R16" s="83" t="str">
        <x:f>IF(COUNTIF($A$6:$A$125,A16)=1,"정상","중복")</x:f>
        <x:v>정상</x:v>
      </x:c>
      <x:c r="S16" s="83" t="str">
        <x:f>IF(AND(A16&gt;=1,A16&lt;=120),"정상","범위 오류")</x:f>
        <x:v>정상</x:v>
      </x:c>
    </x:row>
    <x:row r="17" ht="42" customHeight="1">
      <x:c r="A17" s="83" t="n">
        <x:v>12</x:v>
      </x:c>
      <x:c r="B17" s="83" t="str">
        <x:v>UI</x:v>
      </x:c>
      <x:c r="C17" s="83" t="str">
        <x:v>Alarm 화면 - Current Alarm / Alarm History 화면 구현</x:v>
      </x:c>
      <x:c r="D17" s="83" t="str">
        <x:v>Current Alarm 및 Alarm History 표시 화면 구현</x:v>
      </x:c>
      <x:c r="E17" s="84" t="n">
        <x:v>0.65</x:v>
      </x:c>
      <x:c r="F17" s="83" t="str">
        <x:v>진행 중</x:v>
      </x:c>
      <x:c r="G17" s="83" t="str">
        <x:v>P2</x:v>
      </x:c>
      <x:c r="H17" s="83" t="str">
        <x:v>기본 기능 구현 중. 연계 시나리오와 예외 처리 보완 예정.</x:v>
      </x:c>
      <x:c r="I17" s="83" t="str">
        <x:v>AM-002</x:v>
      </x:c>
      <x:c r="J17" s="83" t="str">
        <x:v>부분 구현 확인</x:v>
      </x:c>
      <x:c r="K17" s="84" t="n">
        <x:v>0.68</x:v>
      </x:c>
      <x:c r="L17" s="83" t="str">
        <x:v>-3%p (보고-코드)</x:v>
      </x:c>
      <x:c r="M17" s="83" t="str">
        <x:v>Current Alarm/History/Trend/Recovery 표시 모델 확인</x:v>
      </x:c>
      <x:c r="N17" s="83" t="str">
        <x:v>실장비 Alarm Reset 및 복구 시나리오 미검증</x:v>
      </x:c>
      <x:c r="O17" s="83" t="str">
        <x:v>코드완성→단위시험→통합/실장비 검증</x:v>
      </x:c>
      <x:c r="P17" s="83" t="str">
        <x:v>02-05, 10-01</x:v>
      </x:c>
      <x:c r="Q17" s="83" t="str">
        <x:v>E-UI-ALARM</x:v>
      </x:c>
      <x:c r="R17" s="83" t="str">
        <x:f>IF(COUNTIF($A$6:$A$125,A17)=1,"정상","중복")</x:f>
        <x:v>정상</x:v>
      </x:c>
      <x:c r="S17" s="83" t="str">
        <x:f>IF(AND(A17&gt;=1,A17&lt;=120),"정상","범위 오류")</x:f>
        <x:v>정상</x:v>
      </x:c>
    </x:row>
    <x:row r="18" ht="42" customHeight="1">
      <x:c r="A18" s="83" t="n">
        <x:v>13</x:v>
      </x:c>
      <x:c r="B18" s="83" t="str">
        <x:v>UI</x:v>
      </x:c>
      <x:c r="C18" s="83" t="str">
        <x:v>Alarm 화면 - Alarm Trend 화면 구현</x:v>
      </x:c>
      <x:c r="D18" s="83" t="str">
        <x:v>Alarm Trend 표시 화면 구현</x:v>
      </x:c>
      <x:c r="E18" s="84" t="n">
        <x:v>0.6</x:v>
      </x:c>
      <x:c r="F18" s="83" t="str">
        <x:v>진행 중</x:v>
      </x:c>
      <x:c r="G18" s="83" t="str">
        <x:v>P2</x:v>
      </x:c>
      <x:c r="H18" s="83" t="str">
        <x:v>기본 기능 구현 중. 연계 시나리오와 예외 처리 보완 예정.</x:v>
      </x:c>
      <x:c r="I18" s="83" t="str">
        <x:v>AM-002</x:v>
      </x:c>
      <x:c r="J18" s="83" t="str">
        <x:v>UI/설정/기초 로직만 확인</x:v>
      </x:c>
      <x:c r="K18" s="84" t="n">
        <x:v>0.52</x:v>
      </x:c>
      <x:c r="L18" s="83" t="str">
        <x:v>+8%p (보고-코드)</x:v>
      </x:c>
      <x:c r="M18" s="83" t="str">
        <x:v>Current Alarm/History/Trend/Recovery 표시 모델 확인</x:v>
      </x:c>
      <x:c r="N18" s="83" t="str">
        <x:v>실장비 Alarm Reset 및 복구 시나리오 미검증</x:v>
      </x:c>
      <x:c r="O18" s="83" t="str">
        <x:v>코드완성→단위시험→통합/실장비 검증</x:v>
      </x:c>
      <x:c r="P18" s="83" t="str">
        <x:v>02-05, 10-01</x:v>
      </x:c>
      <x:c r="Q18" s="83" t="str">
        <x:v>E-UI-ALARM</x:v>
      </x:c>
      <x:c r="R18" s="83" t="str">
        <x:f>IF(COUNTIF($A$6:$A$125,A18)=1,"정상","중복")</x:f>
        <x:v>정상</x:v>
      </x:c>
      <x:c r="S18" s="83" t="str">
        <x:f>IF(AND(A18&gt;=1,A18&lt;=120),"정상","범위 오류")</x:f>
        <x:v>정상</x:v>
      </x:c>
    </x:row>
    <x:row r="19" ht="42" customHeight="1">
      <x:c r="A19" s="83" t="n">
        <x:v>14</x:v>
      </x:c>
      <x:c r="B19" s="83" t="str">
        <x:v>UI</x:v>
      </x:c>
      <x:c r="C19" s="83" t="str">
        <x:v>Monitoring - Laser 화면 구현</x:v>
      </x:c>
      <x:c r="D19" s="83" t="str">
        <x:v>Laser 상태 표시 및 단위 동작을 제공하는 화면 구현</x:v>
      </x:c>
      <x:c r="E19" s="84" t="n">
        <x:v>0.75</x:v>
      </x:c>
      <x:c r="F19" s="83" t="str">
        <x:v>진행 중</x:v>
      </x:c>
      <x:c r="G19" s="83" t="str">
        <x:v>P3</x:v>
      </x:c>
      <x:c r="H19" s="83" t="str">
        <x:v>주요 기능 구현 완료. 장비 연동 및 통합 시험을 통해 안정화 예정.</x:v>
      </x:c>
      <x:c r="I19" s="83" t="str">
        <x:v>AM-004, SS-001</x:v>
      </x:c>
      <x:c r="J19" s="83" t="str">
        <x:v>부분 구현 확인</x:v>
      </x:c>
      <x:c r="K19" s="84" t="n">
        <x:v>0.78</x:v>
      </x:c>
      <x:c r="L19" s="83" t="str">
        <x:v>-3%p (보고-코드)</x:v>
      </x:c>
      <x:c r="M19" s="83" t="str">
        <x:v>Laser/Chiller/ATT/BET/Power/Pico/Motor/IO/좌표 탭과 단위 명령 확인</x:v>
      </x:c>
      <x:c r="N19" s="83" t="str">
        <x:v>실장비 동시 폴링·Timeout·재연결 부하 미검증</x:v>
      </x:c>
      <x:c r="O19" s="83" t="str">
        <x:v>코드완성→단위시험→통합/실장비 검증</x:v>
      </x:c>
      <x:c r="P19" s="83" t="str">
        <x:v>02-06, 09-02, 09-01</x:v>
      </x:c>
      <x:c r="Q19" s="83" t="str">
        <x:v>E-UI-MONITOR</x:v>
      </x:c>
      <x:c r="R19" s="83" t="str">
        <x:f>IF(COUNTIF($A$6:$A$125,A19)=1,"정상","중복")</x:f>
        <x:v>정상</x:v>
      </x:c>
      <x:c r="S19" s="83" t="str">
        <x:f>IF(AND(A19&gt;=1,A19&lt;=120),"정상","범위 오류")</x:f>
        <x:v>정상</x:v>
      </x:c>
    </x:row>
    <x:row r="20" ht="42" customHeight="1">
      <x:c r="A20" s="83" t="n">
        <x:v>15</x:v>
      </x:c>
      <x:c r="B20" s="83" t="str">
        <x:v>UI</x:v>
      </x:c>
      <x:c r="C20" s="83" t="str">
        <x:v>Monitoring - Chiller 화면 구현</x:v>
      </x:c>
      <x:c r="D20" s="83" t="str">
        <x:v>Chiller 상태 표시 및 단위 동작을 제공하는 화면 구현</x:v>
      </x:c>
      <x:c r="E20" s="84" t="n">
        <x:v>0.75</x:v>
      </x:c>
      <x:c r="F20" s="83" t="str">
        <x:v>진행 중</x:v>
      </x:c>
      <x:c r="G20" s="83" t="str">
        <x:v>P3</x:v>
      </x:c>
      <x:c r="H20" s="83" t="str">
        <x:v>주요 기능 구현 완료. 장비 연동 및 통합 시험을 통해 안정화 예정.</x:v>
      </x:c>
      <x:c r="I20" s="83" t="str">
        <x:v>AM-004</x:v>
      </x:c>
      <x:c r="J20" s="83" t="str">
        <x:v>부분 구현 확인</x:v>
      </x:c>
      <x:c r="K20" s="84" t="n">
        <x:v>0.78</x:v>
      </x:c>
      <x:c r="L20" s="83" t="str">
        <x:v>-3%p (보고-코드)</x:v>
      </x:c>
      <x:c r="M20" s="83" t="str">
        <x:v>Laser/Chiller/ATT/BET/Power/Pico/Motor/IO/좌표 탭과 단위 명령 확인</x:v>
      </x:c>
      <x:c r="N20" s="83" t="str">
        <x:v>실장비 동시 폴링·Timeout·재연결 부하 미검증</x:v>
      </x:c>
      <x:c r="O20" s="83" t="str">
        <x:v>코드완성→단위시험→통합/실장비 검증</x:v>
      </x:c>
      <x:c r="P20" s="83" t="str">
        <x:v>02-06, 09-02</x:v>
      </x:c>
      <x:c r="Q20" s="83" t="str">
        <x:v>E-UI-MONITOR</x:v>
      </x:c>
      <x:c r="R20" s="83" t="str">
        <x:f>IF(COUNTIF($A$6:$A$125,A20)=1,"정상","중복")</x:f>
        <x:v>정상</x:v>
      </x:c>
      <x:c r="S20" s="83" t="str">
        <x:f>IF(AND(A20&gt;=1,A20&lt;=120),"정상","범위 오류")</x:f>
        <x:v>정상</x:v>
      </x:c>
    </x:row>
    <x:row r="21" ht="42" customHeight="1">
      <x:c r="A21" s="83" t="n">
        <x:v>16</x:v>
      </x:c>
      <x:c r="B21" s="83" t="str">
        <x:v>UI</x:v>
      </x:c>
      <x:c r="C21" s="83" t="str">
        <x:v>Monitoring - PowerMeter 화면 구현</x:v>
      </x:c>
      <x:c r="D21" s="83" t="str">
        <x:v>PowerMeter 측정 Sequence와 단위 동작을 제공하는 화면 구현</x:v>
      </x:c>
      <x:c r="E21" s="84" t="n">
        <x:v>0.7</x:v>
      </x:c>
      <x:c r="F21" s="83" t="str">
        <x:v>진행 중</x:v>
      </x:c>
      <x:c r="G21" s="83" t="str">
        <x:v>P2</x:v>
      </x:c>
      <x:c r="H21" s="83" t="str">
        <x:v>기본 기능 구현 중. 연계 시나리오와 예외 처리 보완 예정.</x:v>
      </x:c>
      <x:c r="I21" s="83" t="str">
        <x:v>AM-004, SS-004, SS-005</x:v>
      </x:c>
      <x:c r="J21" s="83" t="str">
        <x:v>부분 구현 확인</x:v>
      </x:c>
      <x:c r="K21" s="84" t="n">
        <x:v>0.78</x:v>
      </x:c>
      <x:c r="L21" s="83" t="str">
        <x:v>-8%p (보고-코드)</x:v>
      </x:c>
      <x:c r="M21" s="83" t="str">
        <x:v>Laser/Chiller/ATT/BET/Power/Pico/Motor/IO/좌표 탭과 단위 명령 확인</x:v>
      </x:c>
      <x:c r="N21" s="83" t="str">
        <x:v>실장비 동시 폴링·Timeout·재연결 부하 미검증</x:v>
      </x:c>
      <x:c r="O21" s="83" t="str">
        <x:v>코드완성→단위시험→통합/실장비 검증</x:v>
      </x:c>
      <x:c r="P21" s="83" t="str">
        <x:v>02-06, 09-02, 09-04, 09-03</x:v>
      </x:c>
      <x:c r="Q21" s="83" t="str">
        <x:v>E-UI-MONITOR</x:v>
      </x:c>
      <x:c r="R21" s="83" t="str">
        <x:f>IF(COUNTIF($A$6:$A$125,A21)=1,"정상","중복")</x:f>
        <x:v>정상</x:v>
      </x:c>
      <x:c r="S21" s="83" t="str">
        <x:f>IF(AND(A21&gt;=1,A21&lt;=120),"정상","범위 오류")</x:f>
        <x:v>정상</x:v>
      </x:c>
    </x:row>
    <x:row r="22" ht="42" customHeight="1">
      <x:c r="A22" s="83" t="n">
        <x:v>17</x:v>
      </x:c>
      <x:c r="B22" s="83" t="str">
        <x:v>UI</x:v>
      </x:c>
      <x:c r="C22" s="83" t="str">
        <x:v>Monitoring - BET 화면 구현</x:v>
      </x:c>
      <x:c r="D22" s="83" t="str">
        <x:v>BET 현재 위치 및 Table 표시와 단위 동작을 제공하는 화면 구현</x:v>
      </x:c>
      <x:c r="E22" s="84" t="n">
        <x:v>0.8</x:v>
      </x:c>
      <x:c r="F22" s="83" t="str">
        <x:v>진행 중</x:v>
      </x:c>
      <x:c r="G22" s="83" t="str">
        <x:v>P3</x:v>
      </x:c>
      <x:c r="H22" s="83" t="str">
        <x:v>주요 기능 구현 완료. 장비 연동 및 통합 시험을 통해 안정화 예정.</x:v>
      </x:c>
      <x:c r="I22" s="83" t="str">
        <x:v>AM-004, AM-010, MM-007, SS-002</x:v>
      </x:c>
      <x:c r="J22" s="83" t="str">
        <x:v>부분 구현 확인</x:v>
      </x:c>
      <x:c r="K22" s="84" t="n">
        <x:v>0.78</x:v>
      </x:c>
      <x:c r="L22" s="83" t="str">
        <x:v>+2%p (보고-코드)</x:v>
      </x:c>
      <x:c r="M22" s="83" t="str">
        <x:v>Laser/Chiller/ATT/BET/Power/Pico/Motor/IO/좌표 탭과 단위 명령 확인</x:v>
      </x:c>
      <x:c r="N22" s="83" t="str">
        <x:v>실장비 동시 폴링·Timeout·재연결 부하 미검증</x:v>
      </x:c>
      <x:c r="O22" s="83" t="str">
        <x:v>코드완성→단위시험→통합/실장비 검증</x:v>
      </x:c>
      <x:c r="P22" s="83" t="str">
        <x:v>02-06, 09-02, 06-01, 06-04</x:v>
      </x:c>
      <x:c r="Q22" s="83" t="str">
        <x:v>E-UI-MONITOR</x:v>
      </x:c>
      <x:c r="R22" s="83" t="str">
        <x:f>IF(COUNTIF($A$6:$A$125,A22)=1,"정상","중복")</x:f>
        <x:v>정상</x:v>
      </x:c>
      <x:c r="S22" s="83" t="str">
        <x:f>IF(AND(A22&gt;=1,A22&lt;=120),"정상","범위 오류")</x:f>
        <x:v>정상</x:v>
      </x:c>
    </x:row>
    <x:row r="23" ht="42" customHeight="1">
      <x:c r="A23" s="83" t="n">
        <x:v>18</x:v>
      </x:c>
      <x:c r="B23" s="83" t="str">
        <x:v>UI</x:v>
      </x:c>
      <x:c r="C23" s="83" t="str">
        <x:v>Monitoring - PicoMotor 화면 구현</x:v>
      </x:c>
      <x:c r="D23" s="83" t="str">
        <x:v>PicoMotor 현재 위치 표시 및 단위 동작을 제공하는 화면 구현</x:v>
      </x:c>
      <x:c r="E23" s="84" t="n">
        <x:v>0</x:v>
      </x:c>
      <x:c r="F23" s="83" t="str">
        <x:v>예정</x:v>
      </x:c>
      <x:c r="G23" s="83" t="str">
        <x:v>P1</x:v>
      </x:c>
      <x:c r="H23" s="83" t="str">
        <x:v>초기 개발 단계. 관련 사양 확정 후 우선순위에 따라 순차 개발 예정.</x:v>
      </x:c>
      <x:c r="I23" s="83" t="str"/>
      <x:c r="J23" s="83" t="str">
        <x:v>부분 구현 확인</x:v>
      </x:c>
      <x:c r="K23" s="84" t="n">
        <x:v>0.72</x:v>
      </x:c>
      <x:c r="L23" s="83" t="str">
        <x:v>-72%p (보고-코드)</x:v>
      </x:c>
      <x:c r="M23" s="83" t="str">
        <x:v>Laser/Chiller/ATT/BET/Power/Pico/Motor/IO/좌표 탭과 단위 명령 확인</x:v>
      </x:c>
      <x:c r="N23" s="83" t="str">
        <x:v>실장비 동시 폴링·Timeout·재연결 부하 미검증</x:v>
      </x:c>
      <x:c r="O23" s="83" t="str">
        <x:v>코드완성→단위시험→통합/실장비 검증</x:v>
      </x:c>
      <x:c r="P23" s="83" t="str">
        <x:v>11-08</x:v>
      </x:c>
      <x:c r="Q23" s="83" t="str">
        <x:v>E-UI-MONITOR</x:v>
      </x:c>
      <x:c r="R23" s="83" t="str">
        <x:f>IF(COUNTIF($A$6:$A$125,A23)=1,"정상","중복")</x:f>
        <x:v>정상</x:v>
      </x:c>
      <x:c r="S23" s="83" t="str">
        <x:f>IF(AND(A23&gt;=1,A23&lt;=120),"정상","범위 오류")</x:f>
        <x:v>정상</x:v>
      </x:c>
    </x:row>
    <x:row r="24" ht="42" customHeight="1">
      <x:c r="A24" s="83" t="n">
        <x:v>19</x:v>
      </x:c>
      <x:c r="B24" s="83" t="str">
        <x:v>UI</x:v>
      </x:c>
      <x:c r="C24" s="83" t="str">
        <x:v>Monitoring - Motor 및 I/O 화면 구현</x:v>
      </x:c>
      <x:c r="D24" s="83" t="str">
        <x:v>Motor 및 I/O 상태 표시와 단위 동작을 제공하는 화면 구현</x:v>
      </x:c>
      <x:c r="E24" s="84" t="n">
        <x:v>0.8</x:v>
      </x:c>
      <x:c r="F24" s="83" t="str">
        <x:v>진행 중</x:v>
      </x:c>
      <x:c r="G24" s="83" t="str">
        <x:v>P3</x:v>
      </x:c>
      <x:c r="H24" s="83" t="str">
        <x:v>주요 기능 구현 완료. 장비 연동 및 통합 시험을 통해 안정화 예정.</x:v>
      </x:c>
      <x:c r="I24" s="83" t="str">
        <x:v>AM-010, MM-001, MM-002</x:v>
      </x:c>
      <x:c r="J24" s="83" t="str">
        <x:v>부분 구현 확인</x:v>
      </x:c>
      <x:c r="K24" s="84" t="n">
        <x:v>0.78</x:v>
      </x:c>
      <x:c r="L24" s="83" t="str">
        <x:v>+2%p (보고-코드)</x:v>
      </x:c>
      <x:c r="M24" s="83" t="str">
        <x:v>Laser/Chiller/ATT/BET/Power/Pico/Motor/IO/좌표 탭과 단위 명령 확인</x:v>
      </x:c>
      <x:c r="N24" s="83" t="str">
        <x:v>실장비 동시 폴링·Timeout·재연결 부하 미검증</x:v>
      </x:c>
      <x:c r="O24" s="83" t="str">
        <x:v>코드완성→단위시험→통합/실장비 검증</x:v>
      </x:c>
      <x:c r="P24" s="83" t="str">
        <x:v>02-06, 06-01</x:v>
      </x:c>
      <x:c r="Q24" s="83" t="str">
        <x:v>E-UI-MONITOR</x:v>
      </x:c>
      <x:c r="R24" s="83" t="str">
        <x:f>IF(COUNTIF($A$6:$A$125,A24)=1,"정상","중복")</x:f>
        <x:v>정상</x:v>
      </x:c>
      <x:c r="S24" s="83" t="str">
        <x:f>IF(AND(A24&gt;=1,A24&lt;=120),"정상","범위 오류")</x:f>
        <x:v>정상</x:v>
      </x:c>
    </x:row>
    <x:row r="25" ht="42" customHeight="1">
      <x:c r="A25" s="83" t="n">
        <x:v>20</x:v>
      </x:c>
      <x:c r="B25" s="83" t="str">
        <x:v>UI</x:v>
      </x:c>
      <x:c r="C25" s="83" t="str">
        <x:v>Monitoring - Attenuator 화면 구현</x:v>
      </x:c>
      <x:c r="D25" s="83" t="str">
        <x:v>Attenuator 상태 표시 및 단위 동작을 제공하는 화면 구현</x:v>
      </x:c>
      <x:c r="E25" s="84" t="n">
        <x:v>0.75</x:v>
      </x:c>
      <x:c r="F25" s="83" t="str">
        <x:v>진행 중</x:v>
      </x:c>
      <x:c r="G25" s="83" t="str">
        <x:v>P3</x:v>
      </x:c>
      <x:c r="H25" s="83" t="str">
        <x:v>주요 기능 구현 완료. 장비 연동 및 통합 시험을 통해 안정화 예정.</x:v>
      </x:c>
      <x:c r="I25" s="83" t="str">
        <x:v>AM-004, AM-010, SS-002, SS-006</x:v>
      </x:c>
      <x:c r="J25" s="83" t="str">
        <x:v>부분 구현 확인</x:v>
      </x:c>
      <x:c r="K25" s="84" t="n">
        <x:v>0.78</x:v>
      </x:c>
      <x:c r="L25" s="83" t="str">
        <x:v>-3%p (보고-코드)</x:v>
      </x:c>
      <x:c r="M25" s="83" t="str">
        <x:v>Laser/Chiller/ATT/BET/Power/Pico/Motor/IO/좌표 탭과 단위 명령 확인</x:v>
      </x:c>
      <x:c r="N25" s="83" t="str">
        <x:v>실장비 동시 폴링·Timeout·재연결 부하 미검증</x:v>
      </x:c>
      <x:c r="O25" s="83" t="str">
        <x:v>코드완성→단위시험→통합/실장비 검증</x:v>
      </x:c>
      <x:c r="P25" s="83" t="str">
        <x:v>02-06, 09-02, 06-01</x:v>
      </x:c>
      <x:c r="Q25" s="83" t="str">
        <x:v>E-UI-MONITOR</x:v>
      </x:c>
      <x:c r="R25" s="83" t="str">
        <x:f>IF(COUNTIF($A$6:$A$125,A25)=1,"정상","중복")</x:f>
        <x:v>정상</x:v>
      </x:c>
      <x:c r="S25" s="83" t="str">
        <x:f>IF(AND(A25&gt;=1,A25&lt;=120),"정상","범위 오류")</x:f>
        <x:v>정상</x:v>
      </x:c>
    </x:row>
    <x:row r="26" ht="42" customHeight="1">
      <x:c r="A26" s="83" t="n">
        <x:v>21</x:v>
      </x:c>
      <x:c r="B26" s="83" t="str">
        <x:v>UI</x:v>
      </x:c>
      <x:c r="C26" s="83" t="str">
        <x:v>PM 화면 - PM Mode 기능 구현</x:v>
      </x:c>
      <x:c r="D26" s="83" t="str">
        <x:v>PM Mode 설정 및 상태 표시 화면 구현</x:v>
      </x:c>
      <x:c r="E26" s="84" t="n">
        <x:v>0.9</x:v>
      </x:c>
      <x:c r="F26" s="83" t="str">
        <x:v>완료</x:v>
      </x:c>
      <x:c r="G26" s="83" t="str">
        <x:v>P3</x:v>
      </x:c>
      <x:c r="H26" s="83" t="str">
        <x:v>주요 기능 구현 완료. 운영 조건 및 실장비 최종 확인 예정.</x:v>
      </x:c>
      <x:c r="I26" s="83" t="str"/>
      <x:c r="J26" s="83" t="str">
        <x:v>부분 구현 확인</x:v>
      </x:c>
      <x:c r="K26" s="84" t="n">
        <x:v>0.62</x:v>
      </x:c>
      <x:c r="L26" s="83" t="str">
        <x:v>+28%p (보고-코드)</x:v>
      </x:c>
      <x:c r="M26" s="83" t="str">
        <x:v>PM 모드 화면/상태 모델 확인</x:v>
      </x:c>
      <x:c r="N26" s="83" t="str">
        <x:v>설비 유지보수 권한·잠금·복구 검증 미완</x:v>
      </x:c>
      <x:c r="O26" s="83" t="str">
        <x:v>코드완성→단위시험→통합/실장비 검증</x:v>
      </x:c>
      <x:c r="P26" s="83" t="str">
        <x:v>11-08</x:v>
      </x:c>
      <x:c r="Q26" s="83" t="str">
        <x:v>E-UI-PM</x:v>
      </x:c>
      <x:c r="R26" s="83" t="str">
        <x:f>IF(COUNTIF($A$6:$A$125,A26)=1,"정상","중복")</x:f>
        <x:v>정상</x:v>
      </x:c>
      <x:c r="S26" s="83" t="str">
        <x:f>IF(AND(A26&gt;=1,A26&lt;=120),"정상","범위 오류")</x:f>
        <x:v>정상</x:v>
      </x:c>
    </x:row>
    <x:row r="27" ht="42" customHeight="1">
      <x:c r="A27" s="83" t="n">
        <x:v>22</x:v>
      </x:c>
      <x:c r="B27" s="83" t="str">
        <x:v>통신</x:v>
      </x:c>
      <x:c r="C27" s="83" t="str">
        <x:v>Serial 통신 기능 구현</x:v>
      </x:c>
      <x:c r="D27" s="83" t="str">
        <x:v>Serial 통신 기능 구현</x:v>
      </x:c>
      <x:c r="E27" s="84" t="n">
        <x:v>0.85</x:v>
      </x:c>
      <x:c r="F27" s="83" t="str">
        <x:v>진행 중</x:v>
      </x:c>
      <x:c r="G27" s="83" t="str">
        <x:v>P3</x:v>
      </x:c>
      <x:c r="H27" s="83" t="str">
        <x:v>주요 기능 구현 완료. 장비 연동 및 통합 시험을 통해 안정화 예정.</x:v>
      </x:c>
      <x:c r="I27" s="83" t="str">
        <x:v>AM-006, SS-007</x:v>
      </x:c>
      <x:c r="J27" s="83" t="str">
        <x:v>부분 구현 확인</x:v>
      </x:c>
      <x:c r="K27" s="84" t="n">
        <x:v>0.76</x:v>
      </x:c>
      <x:c r="L27" s="83" t="str">
        <x:v>+9%p (보고-코드)</x:v>
      </x:c>
      <x:c r="M27" s="83" t="str">
        <x:v>Serial 공통 Open/Close/Send/Receive/Timeout 구조 확인</x:v>
      </x:c>
      <x:c r="N27" s="83" t="str">
        <x:v>현장 포트·Baud·종단문자·오류주입 시험 미수행</x:v>
      </x:c>
      <x:c r="O27" s="83" t="str">
        <x:v>코드완성→단위시험→통합/실장비 검증</x:v>
      </x:c>
      <x:c r="P27" s="83" t="str">
        <x:v>03-07, 09-05</x:v>
      </x:c>
      <x:c r="Q27" s="83" t="str">
        <x:v>E-SERIAL</x:v>
      </x:c>
      <x:c r="R27" s="83" t="str">
        <x:f>IF(COUNTIF($A$6:$A$125,A27)=1,"정상","중복")</x:f>
        <x:v>정상</x:v>
      </x:c>
      <x:c r="S27" s="83" t="str">
        <x:f>IF(AND(A27&gt;=1,A27&lt;=120),"정상","범위 오류")</x:f>
        <x:v>정상</x:v>
      </x:c>
    </x:row>
    <x:row r="28" ht="42" customHeight="1">
      <x:c r="A28" s="83" t="n">
        <x:v>23</x:v>
      </x:c>
      <x:c r="B28" s="83" t="str">
        <x:v>통신</x:v>
      </x:c>
      <x:c r="C28" s="83" t="str">
        <x:v>Socket 통신 기능 구현</x:v>
      </x:c>
      <x:c r="D28" s="83" t="str">
        <x:v>Socket 통신 기능 구현</x:v>
      </x:c>
      <x:c r="E28" s="84" t="n">
        <x:v>0.6</x:v>
      </x:c>
      <x:c r="F28" s="83" t="str">
        <x:v>진행 중</x:v>
      </x:c>
      <x:c r="G28" s="83" t="str">
        <x:v>P2</x:v>
      </x:c>
      <x:c r="H28" s="83" t="str">
        <x:v>기본 기능 구현 중. 연계 시나리오와 예외 처리 보완 예정.</x:v>
      </x:c>
      <x:c r="I28" s="83" t="str">
        <x:v>AM-006, AM-015, SS-007</x:v>
      </x:c>
      <x:c r="J28" s="83" t="str">
        <x:v>부분 구현 확인</x:v>
      </x:c>
      <x:c r="K28" s="84" t="n">
        <x:v>0.66</x:v>
      </x:c>
      <x:c r="L28" s="83" t="str">
        <x:v>-6%p (보고-코드)</x:v>
      </x:c>
      <x:c r="M28" s="83" t="str">
        <x:v>TCP Client 통신과 Timeout/예외 경로 확인</x:v>
      </x:c>
      <x:c r="N28" s="83" t="str">
        <x:v>Stage/Vision 실제 프로토콜 및 재전송·중복방지 규칙 미확정</x:v>
      </x:c>
      <x:c r="O28" s="83" t="str">
        <x:v>코드완성→단위시험→통합/실장비 검증</x:v>
      </x:c>
      <x:c r="P28" s="83" t="str">
        <x:v>03-07, 09-05, 10-02</x:v>
      </x:c>
      <x:c r="Q28" s="83" t="str">
        <x:v>E-SOCKET</x:v>
      </x:c>
      <x:c r="R28" s="83" t="str">
        <x:f>IF(COUNTIF($A$6:$A$125,A28)=1,"정상","중복")</x:f>
        <x:v>정상</x:v>
      </x:c>
      <x:c r="S28" s="83" t="str">
        <x:f>IF(AND(A28&gt;=1,A28&lt;=120),"정상","범위 오류")</x:f>
        <x:v>정상</x:v>
      </x:c>
    </x:row>
    <x:row r="29" ht="42" customHeight="1">
      <x:c r="A29" s="83" t="n">
        <x:v>24</x:v>
      </x:c>
      <x:c r="B29" s="83" t="str">
        <x:v>통신</x:v>
      </x:c>
      <x:c r="C29" s="83" t="str">
        <x:v>PLC(Melsec) 통신 기능 구현</x:v>
      </x:c>
      <x:c r="D29" s="83" t="str">
        <x:v>PLC(Melsec) 통신 기능 구현</x:v>
      </x:c>
      <x:c r="E29" s="84" t="n">
        <x:v>0.55</x:v>
      </x:c>
      <x:c r="F29" s="83" t="str">
        <x:v>진행 중</x:v>
      </x:c>
      <x:c r="G29" s="83" t="str">
        <x:v>P1</x:v>
      </x:c>
      <x:c r="H29" s="83" t="str">
        <x:v>기본 기능 구현 중. 연계 시나리오와 예외 처리 보완 예정.</x:v>
      </x:c>
      <x:c r="I29" s="83" t="str">
        <x:v>AM-001, AM-006, AM-015, SS-007</x:v>
      </x:c>
      <x:c r="J29" s="83" t="str">
        <x:v>구현·빌드·회귀시험 확인</x:v>
      </x:c>
      <x:c r="K29" s="84" t="n">
        <x:v>0.88</x:v>
      </x:c>
      <x:c r="L29" s="83" t="str">
        <x:v>-33%p (보고-코드)</x:v>
      </x:c>
      <x:c r="M29" s="83" t="str">
        <x:v>MelsecNet Open/Read/Write/Readback/Timeout/Retry/오류/재시작 회귀시험 PASS</x:v>
      </x:c>
      <x:c r="N29" s="83" t="str">
        <x:v>실제 PLC 메모리맵·스캔주기·노이즈 환경 미검증</x:v>
      </x:c>
      <x:c r="O29" s="83" t="str">
        <x:v>회귀 PASS 유지 + 실장비/통합 검증</x:v>
      </x:c>
      <x:c r="P29" s="83" t="str">
        <x:v>03-01, 02-01, 03-07, 09-05, 10-02</x:v>
      </x:c>
      <x:c r="Q29" s="83" t="str">
        <x:v>E-PLC</x:v>
      </x:c>
      <x:c r="R29" s="83" t="str">
        <x:f>IF(COUNTIF($A$6:$A$125,A29)=1,"정상","중복")</x:f>
        <x:v>정상</x:v>
      </x:c>
      <x:c r="S29" s="83" t="str">
        <x:f>IF(AND(A29&gt;=1,A29&lt;=120),"정상","범위 오류")</x:f>
        <x:v>정상</x:v>
      </x:c>
    </x:row>
    <x:row r="30" ht="42" customHeight="1">
      <x:c r="A30" s="83" t="n">
        <x:v>25</x:v>
      </x:c>
      <x:c r="B30" s="83" t="str">
        <x:v>통신</x:v>
      </x:c>
      <x:c r="C30" s="83" t="str">
        <x:v>XPS Motion Controller 연동 기능 구현</x:v>
      </x:c>
      <x:c r="D30" s="83" t="str">
        <x:v>XPS Motion Controller 연동 기능 구현</x:v>
      </x:c>
      <x:c r="E30" s="84" t="n">
        <x:v>0.6</x:v>
      </x:c>
      <x:c r="F30" s="83" t="str">
        <x:v>진행 중</x:v>
      </x:c>
      <x:c r="G30" s="83" t="str">
        <x:v>P2</x:v>
      </x:c>
      <x:c r="H30" s="83" t="str">
        <x:v>기본 기능 구현 중. 연계 시나리오와 예외 처리 보완 예정.</x:v>
      </x:c>
      <x:c r="I30" s="83" t="str">
        <x:v>AM-010, MM-001, MM-002, MM-008, IC-011, SS-002, SS-007</x:v>
      </x:c>
      <x:c r="J30" s="83" t="str">
        <x:v>부분 구현 확인</x:v>
      </x:c>
      <x:c r="K30" s="84" t="n">
        <x:v>0.62</x:v>
      </x:c>
      <x:c r="L30" s="83" t="str">
        <x:v>-2%p (보고-코드)</x:v>
      </x:c>
      <x:c r="M30" s="83" t="str">
        <x:v>XPS Motion 추상화 및 DLL 연계 확인</x:v>
      </x:c>
      <x:c r="N30" s="83" t="str">
        <x:v>실장비 Group/Axis 구성·Home/Limit 검증 미수행</x:v>
      </x:c>
      <x:c r="O30" s="83" t="str">
        <x:v>코드완성→단위시험→통합/실장비 검증</x:v>
      </x:c>
      <x:c r="P30" s="83" t="str">
        <x:v>02-06, 06-01, 06-04, 09-02, 03-07</x:v>
      </x:c>
      <x:c r="Q30" s="83" t="str">
        <x:v>E-XPS</x:v>
      </x:c>
      <x:c r="R30" s="83" t="str">
        <x:f>IF(COUNTIF($A$6:$A$125,A30)=1,"정상","중복")</x:f>
        <x:v>정상</x:v>
      </x:c>
      <x:c r="S30" s="83" t="str">
        <x:f>IF(AND(A30&gt;=1,A30&lt;=120),"정상","범위 오류")</x:f>
        <x:v>정상</x:v>
      </x:c>
    </x:row>
    <x:row r="31" ht="42" customHeight="1">
      <x:c r="A31" s="83" t="n">
        <x:v>26</x:v>
      </x:c>
      <x:c r="B31" s="83" t="str">
        <x:v>통신</x:v>
      </x:c>
      <x:c r="C31" s="83" t="str">
        <x:v>Talon Laser 연동 기능 구현</x:v>
      </x:c>
      <x:c r="D31" s="83" t="str">
        <x:v>Talon Laser 연동 기능 구현</x:v>
      </x:c>
      <x:c r="E31" s="84" t="n">
        <x:v>0.75</x:v>
      </x:c>
      <x:c r="F31" s="83" t="str">
        <x:v>진행 중</x:v>
      </x:c>
      <x:c r="G31" s="83" t="str">
        <x:v>P3</x:v>
      </x:c>
      <x:c r="H31" s="83" t="str">
        <x:v>주요 기능 구현 완료. 장비 연동 및 통합 시험을 통해 안정화 예정.</x:v>
      </x:c>
      <x:c r="I31" s="83" t="str">
        <x:v>AM-004, SS-001, SS-007</x:v>
      </x:c>
      <x:c r="J31" s="83" t="str">
        <x:v>부분 구현 확인</x:v>
      </x:c>
      <x:c r="K31" s="84" t="n">
        <x:v>0.76</x:v>
      </x:c>
      <x:c r="L31" s="83" t="str">
        <x:v>-1%p (보고-코드)</x:v>
      </x:c>
      <x:c r="M31" s="83" t="str">
        <x:v>Talon Diode/Power/Frequency/Gate 계열 명령과 Simulation 회귀 근거 확인</x:v>
      </x:c>
      <x:c r="N31" s="83" t="str">
        <x:v>출사 조건·Gate/Shutter 타이밍·실물 인터락 미검증</x:v>
      </x:c>
      <x:c r="O31" s="83" t="str">
        <x:v>코드완성→단위시험→통합/실장비 검증</x:v>
      </x:c>
      <x:c r="P31" s="83" t="str">
        <x:v>02-06, 09-02, 09-01, 03-07</x:v>
      </x:c>
      <x:c r="Q31" s="83" t="str">
        <x:v>E-LASER</x:v>
      </x:c>
      <x:c r="R31" s="83" t="str">
        <x:f>IF(COUNTIF($A$6:$A$125,A31)=1,"정상","중복")</x:f>
        <x:v>정상</x:v>
      </x:c>
      <x:c r="S31" s="83" t="str">
        <x:f>IF(AND(A31&gt;=1,A31&lt;=120),"정상","범위 오류")</x:f>
        <x:v>정상</x:v>
      </x:c>
    </x:row>
    <x:row r="32" ht="42" customHeight="1">
      <x:c r="A32" s="83" t="n">
        <x:v>27</x:v>
      </x:c>
      <x:c r="B32" s="83" t="str">
        <x:v>통신</x:v>
      </x:c>
      <x:c r="C32" s="83" t="str">
        <x:v>PicoMotor 연동 기능 구현</x:v>
      </x:c>
      <x:c r="D32" s="83" t="str">
        <x:v>PicoMotor 연동 기능 구현</x:v>
      </x:c>
      <x:c r="E32" s="84" t="n">
        <x:v>0</x:v>
      </x:c>
      <x:c r="F32" s="83" t="str">
        <x:v>예정</x:v>
      </x:c>
      <x:c r="G32" s="83" t="str">
        <x:v>P1</x:v>
      </x:c>
      <x:c r="H32" s="83" t="str">
        <x:v>초기 개발 단계. 관련 사양 확정 후 우선순위에 따라 순차 개발 예정.</x:v>
      </x:c>
      <x:c r="I32" s="83" t="str">
        <x:v>MM-003, SS-007</x:v>
      </x:c>
      <x:c r="J32" s="83" t="str">
        <x:v>부분 구현 확인</x:v>
      </x:c>
      <x:c r="K32" s="84" t="n">
        <x:v>0.74</x:v>
      </x:c>
      <x:c r="L32" s="83" t="str">
        <x:v>-74%p (보고-코드)</x:v>
      </x:c>
      <x:c r="M32" s="83" t="str">
        <x:v>PicoMotor Connect/속도/가속/절대이동과 회귀 Simulation 확인</x:v>
      </x:c>
      <x:c r="N32" s="83" t="str">
        <x:v>실물 SDK/다축 간섭/원점·에러복구 미검증</x:v>
      </x:c>
      <x:c r="O32" s="83" t="str">
        <x:v>코드완성→단위시험→통합/실장비 검증</x:v>
      </x:c>
      <x:c r="P32" s="83" t="str">
        <x:v>05-04, 06-01, 03-07</x:v>
      </x:c>
      <x:c r="Q32" s="83" t="str">
        <x:v>E-PICO</x:v>
      </x:c>
      <x:c r="R32" s="83" t="str">
        <x:f>IF(COUNTIF($A$6:$A$125,A32)=1,"정상","중복")</x:f>
        <x:v>정상</x:v>
      </x:c>
      <x:c r="S32" s="83" t="str">
        <x:f>IF(AND(A32&gt;=1,A32&lt;=120),"정상","범위 오류")</x:f>
        <x:v>정상</x:v>
      </x:c>
    </x:row>
    <x:row r="33" ht="42" customHeight="1">
      <x:c r="A33" s="83" t="n">
        <x:v>28</x:v>
      </x:c>
      <x:c r="B33" s="83" t="str">
        <x:v>통신</x:v>
      </x:c>
      <x:c r="C33" s="83" t="str">
        <x:v>Chiller 연동 기능 구현</x:v>
      </x:c>
      <x:c r="D33" s="83" t="str">
        <x:v>Chiller 연동 기능 구현</x:v>
      </x:c>
      <x:c r="E33" s="84" t="n">
        <x:v>0.75</x:v>
      </x:c>
      <x:c r="F33" s="83" t="str">
        <x:v>진행 중</x:v>
      </x:c>
      <x:c r="G33" s="83" t="str">
        <x:v>P3</x:v>
      </x:c>
      <x:c r="H33" s="83" t="str">
        <x:v>주요 기능 구현 완료. 장비 연동 및 통합 시험을 통해 안정화 예정.</x:v>
      </x:c>
      <x:c r="I33" s="83" t="str">
        <x:v>AM-004, SS-007</x:v>
      </x:c>
      <x:c r="J33" s="83" t="str">
        <x:v>부분 구현 확인</x:v>
      </x:c>
      <x:c r="K33" s="84" t="n">
        <x:v>0.75</x:v>
      </x:c>
      <x:c r="L33" s="83" t="str">
        <x:v>0%p (보고-코드)</x:v>
      </x:c>
      <x:c r="M33" s="83" t="str">
        <x:v>Chiller 설정·상태·Alarm 명령과 Simulation 회귀 근거 확인</x:v>
      </x:c>
      <x:c r="N33" s="83" t="str">
        <x:v>실장비 안정온도·Alarm 복구 미검증</x:v>
      </x:c>
      <x:c r="O33" s="83" t="str">
        <x:v>코드완성→단위시험→통합/실장비 검증</x:v>
      </x:c>
      <x:c r="P33" s="83" t="str">
        <x:v>02-06, 09-02, 03-07</x:v>
      </x:c>
      <x:c r="Q33" s="83" t="str">
        <x:v>E-CHILLER</x:v>
      </x:c>
      <x:c r="R33" s="83" t="str">
        <x:f>IF(COUNTIF($A$6:$A$125,A33)=1,"정상","중복")</x:f>
        <x:v>정상</x:v>
      </x:c>
      <x:c r="S33" s="83" t="str">
        <x:f>IF(AND(A33&gt;=1,A33&lt;=120),"정상","범위 오류")</x:f>
        <x:v>정상</x:v>
      </x:c>
    </x:row>
    <x:row r="34" ht="42" customHeight="1">
      <x:c r="A34" s="83" t="n">
        <x:v>29</x:v>
      </x:c>
      <x:c r="B34" s="83" t="str">
        <x:v>통신</x:v>
      </x:c>
      <x:c r="C34" s="83" t="str">
        <x:v>BET 연동 기능 구현</x:v>
      </x:c>
      <x:c r="D34" s="83" t="str">
        <x:v>BET 연동 기능 구현</x:v>
      </x:c>
      <x:c r="E34" s="84" t="n">
        <x:v>0.8</x:v>
      </x:c>
      <x:c r="F34" s="83" t="str">
        <x:v>진행 중</x:v>
      </x:c>
      <x:c r="G34" s="83" t="str">
        <x:v>P3</x:v>
      </x:c>
      <x:c r="H34" s="83" t="str">
        <x:v>주요 기능 구현 완료. 장비 연동 및 통합 시험을 통해 안정화 예정.</x:v>
      </x:c>
      <x:c r="I34" s="83" t="str">
        <x:v>AM-004, AM-010, SS-002, SS-007</x:v>
      </x:c>
      <x:c r="J34" s="83" t="str">
        <x:v>부분 구현 확인</x:v>
      </x:c>
      <x:c r="K34" s="84" t="n">
        <x:v>0.74</x:v>
      </x:c>
      <x:c r="L34" s="83" t="str">
        <x:v>+6%p (보고-코드)</x:v>
      </x:c>
      <x:c r="M34" s="83" t="str">
        <x:v>Beam Expander L1/L2 성격 명령과 Simulation 회귀 근거 확인</x:v>
      </x:c>
      <x:c r="N34" s="83" t="str">
        <x:v>실제 광학계 위치 공차·복귀 안전조건 미검증</x:v>
      </x:c>
      <x:c r="O34" s="83" t="str">
        <x:v>코드완성→단위시험→통합/실장비 검증</x:v>
      </x:c>
      <x:c r="P34" s="83" t="str">
        <x:v>02-06, 09-02, 06-01, 03-07</x:v>
      </x:c>
      <x:c r="Q34" s="83" t="str">
        <x:v>E-BET</x:v>
      </x:c>
      <x:c r="R34" s="83" t="str">
        <x:f>IF(COUNTIF($A$6:$A$125,A34)=1,"정상","중복")</x:f>
        <x:v>정상</x:v>
      </x:c>
      <x:c r="S34" s="83" t="str">
        <x:f>IF(AND(A34&gt;=1,A34&lt;=120),"정상","범위 오류")</x:f>
        <x:v>정상</x:v>
      </x:c>
    </x:row>
    <x:row r="35" ht="42" customHeight="1">
      <x:c r="A35" s="83" t="n">
        <x:v>30</x:v>
      </x:c>
      <x:c r="B35" s="83" t="str">
        <x:v>통신</x:v>
      </x:c>
      <x:c r="C35" s="83" t="str">
        <x:v>CONDEX-APG(Attenuator) 연동 기능 구현</x:v>
      </x:c>
      <x:c r="D35" s="83" t="str">
        <x:v>Attenuator 연동 기능 구현</x:v>
      </x:c>
      <x:c r="E35" s="84" t="n">
        <x:v>0.75</x:v>
      </x:c>
      <x:c r="F35" s="83" t="str">
        <x:v>진행 중</x:v>
      </x:c>
      <x:c r="G35" s="83" t="str">
        <x:v>P3</x:v>
      </x:c>
      <x:c r="H35" s="83" t="str">
        <x:v>주요 기능 구현 완료. 장비 연동 및 통합 시험을 통해 안정화 예정.</x:v>
      </x:c>
      <x:c r="I35" s="83" t="str">
        <x:v>AM-004, AM-010, SS-002, SS-006, SS-007</x:v>
      </x:c>
      <x:c r="J35" s="83" t="str">
        <x:v>부분 구현 확인</x:v>
      </x:c>
      <x:c r="K35" s="84" t="n">
        <x:v>0.76</x:v>
      </x:c>
      <x:c r="L35" s="83" t="str">
        <x:v>-1%p (보고-코드)</x:v>
      </x:c>
      <x:c r="M35" s="83" t="str">
        <x:v>CONEX-AGP 위치/Origin/Stop/Error 명령과 Simulation 회귀 근거 확인</x:v>
      </x:c>
      <x:c r="N35" s="83" t="str">
        <x:v>8 Head별 Min/Max·사용량·보호윈도우 판단 연계 미완</x:v>
      </x:c>
      <x:c r="O35" s="83" t="str">
        <x:v>코드완성→단위시험→통합/실장비 검증</x:v>
      </x:c>
      <x:c r="P35" s="83" t="str">
        <x:v>02-06, 09-02, 06-01, 03-07</x:v>
      </x:c>
      <x:c r="Q35" s="83" t="str">
        <x:v>E-ATT</x:v>
      </x:c>
      <x:c r="R35" s="83" t="str">
        <x:f>IF(COUNTIF($A$6:$A$125,A35)=1,"정상","중복")</x:f>
        <x:v>정상</x:v>
      </x:c>
      <x:c r="S35" s="83" t="str">
        <x:f>IF(AND(A35&gt;=1,A35&lt;=120),"정상","범위 오류")</x:f>
        <x:v>정상</x:v>
      </x:c>
    </x:row>
    <x:row r="36" ht="42" customHeight="1">
      <x:c r="A36" s="83" t="n">
        <x:v>31</x:v>
      </x:c>
      <x:c r="B36" s="83" t="str">
        <x:v>통신</x:v>
      </x:c>
      <x:c r="C36" s="83" t="str">
        <x:v>PowerMeter 연동 기능 구현</x:v>
      </x:c>
      <x:c r="D36" s="83" t="str">
        <x:v>PowerMeter 연동 기능 구현</x:v>
      </x:c>
      <x:c r="E36" s="84" t="n">
        <x:v>0.7</x:v>
      </x:c>
      <x:c r="F36" s="83" t="str">
        <x:v>진행 중</x:v>
      </x:c>
      <x:c r="G36" s="83" t="str">
        <x:v>P2</x:v>
      </x:c>
      <x:c r="H36" s="83" t="str">
        <x:v>기본 기능 구현 중. 연계 시나리오와 예외 처리 보완 예정.</x:v>
      </x:c>
      <x:c r="I36" s="83" t="str">
        <x:v>AM-004, SS-004, SS-005, SS-007</x:v>
      </x:c>
      <x:c r="J36" s="83" t="str">
        <x:v>부분 구현 확인</x:v>
      </x:c>
      <x:c r="K36" s="84" t="n">
        <x:v>0.72</x:v>
      </x:c>
      <x:c r="L36" s="83" t="str">
        <x:v>-2%p (보고-코드)</x:v>
      </x:c>
      <x:c r="M36" s="83" t="str">
        <x:v>PowerMeter 설정/측정 명령과 Monitor 측정 Sequence 확인</x:v>
      </x:c>
      <x:c r="N36" s="83" t="str">
        <x:v>ATT 폐루프 자동 보정·반복 종료조건·실측 재현성 미완</x:v>
      </x:c>
      <x:c r="O36" s="83" t="str">
        <x:v>코드완성→단위시험→통합/실장비 검증</x:v>
      </x:c>
      <x:c r="P36" s="83" t="str">
        <x:v>02-06, 09-02, 09-04, 09-03, 03-07</x:v>
      </x:c>
      <x:c r="Q36" s="83" t="str">
        <x:v>E-POWERMETER</x:v>
      </x:c>
      <x:c r="R36" s="83" t="str">
        <x:f>IF(COUNTIF($A$6:$A$125,A36)=1,"정상","중복")</x:f>
        <x:v>정상</x:v>
      </x:c>
      <x:c r="S36" s="83" t="str">
        <x:f>IF(AND(A36&gt;=1,A36&lt;=120),"정상","범위 오류")</x:f>
        <x:v>정상</x:v>
      </x:c>
    </x:row>
    <x:row r="37" ht="42" customHeight="1">
      <x:c r="A37" s="83" t="n">
        <x:v>32</x:v>
      </x:c>
      <x:c r="B37" s="83" t="str">
        <x:v>통신</x:v>
      </x:c>
      <x:c r="C37" s="83" t="str">
        <x:v>Stage PC 통신 연동</x:v>
      </x:c>
      <x:c r="D37" s="83" t="str">
        <x:v>Stage PC 통신 연동 기능 구현</x:v>
      </x:c>
      <x:c r="E37" s="84" t="n">
        <x:v>0.25</x:v>
      </x:c>
      <x:c r="F37" s="83" t="str">
        <x:v>예정</x:v>
      </x:c>
      <x:c r="G37" s="83" t="str">
        <x:v>P1</x:v>
      </x:c>
      <x:c r="H37" s="83" t="str">
        <x:v>초기 개발 단계. 관련 사양 확정 후 우선순위에 따라 순차 개발 예정.</x:v>
      </x:c>
      <x:c r="I37" s="83" t="str">
        <x:v>AM-006, SS-007</x:v>
      </x:c>
      <x:c r="J37" s="83" t="str">
        <x:v>UI/설정/기초 로직만 확인</x:v>
      </x:c>
      <x:c r="K37" s="84" t="n">
        <x:v>0.45</x:v>
      </x:c>
      <x:c r="L37" s="83" t="str">
        <x:v>-20%p (보고-코드)</x:v>
      </x:c>
      <x:c r="M37" s="83" t="str">
        <x:v>TCP Client 통신과 Timeout/예외 경로 확인</x:v>
      </x:c>
      <x:c r="N37" s="83" t="str">
        <x:v>Stage/Vision 실제 프로토콜 및 재전송·중복방지 규칙 미확정</x:v>
      </x:c>
      <x:c r="O37" s="83" t="str">
        <x:v>코드완성→단위시험→통합/실장비 검증</x:v>
      </x:c>
      <x:c r="P37" s="83" t="str">
        <x:v>03-07, 09-05</x:v>
      </x:c>
      <x:c r="Q37" s="83" t="str">
        <x:v>E-SOCKET</x:v>
      </x:c>
      <x:c r="R37" s="83" t="str">
        <x:f>IF(COUNTIF($A$6:$A$125,A37)=1,"정상","중복")</x:f>
        <x:v>정상</x:v>
      </x:c>
      <x:c r="S37" s="83" t="str">
        <x:f>IF(AND(A37&gt;=1,A37&lt;=120),"정상","범위 오류")</x:f>
        <x:v>정상</x:v>
      </x:c>
    </x:row>
    <x:row r="38" ht="42" customHeight="1">
      <x:c r="A38" s="83" t="n">
        <x:v>33</x:v>
      </x:c>
      <x:c r="B38" s="83" t="str">
        <x:v>통신</x:v>
      </x:c>
      <x:c r="C38" s="83" t="str">
        <x:v>Vision PC 통신 연동</x:v>
      </x:c>
      <x:c r="D38" s="83" t="str">
        <x:v>Vision PC 통신 연동 기능 구현</x:v>
      </x:c>
      <x:c r="E38" s="84" t="n">
        <x:v>0.25</x:v>
      </x:c>
      <x:c r="F38" s="83" t="str">
        <x:v>예정</x:v>
      </x:c>
      <x:c r="G38" s="83" t="str">
        <x:v>P1</x:v>
      </x:c>
      <x:c r="H38" s="83" t="str">
        <x:v>초기 개발 단계. 관련 사양 확정 후 우선순위에 따라 순차 개발 예정.</x:v>
      </x:c>
      <x:c r="I38" s="83" t="str">
        <x:v>AM-006, SS-007</x:v>
      </x:c>
      <x:c r="J38" s="83" t="str">
        <x:v>UI/설정/기초 로직만 확인</x:v>
      </x:c>
      <x:c r="K38" s="84" t="n">
        <x:v>0.48</x:v>
      </x:c>
      <x:c r="L38" s="83" t="str">
        <x:v>-23%p (보고-코드)</x:v>
      </x:c>
      <x:c r="M38" s="83" t="str">
        <x:v>Review Plan·Stage/Vision Move·Measure·Result Save·Retry·Offset 적용과 Thread 회귀 PASS</x:v>
      </x:c>
      <x:c r="N38" s="83" t="str">
        <x:v>16 Branch/3줄·누적 Offset·실장비 Vision 프로토콜 미검증</x:v>
      </x:c>
      <x:c r="O38" s="83" t="str">
        <x:v>코드완성→단위시험→통합/실장비 검증</x:v>
      </x:c>
      <x:c r="P38" s="83" t="str">
        <x:v>03-07, 09-05</x:v>
      </x:c>
      <x:c r="Q38" s="83" t="str">
        <x:v>E-REVIEW</x:v>
      </x:c>
      <x:c r="R38" s="83" t="str">
        <x:f>IF(COUNTIF($A$6:$A$125,A38)=1,"정상","중복")</x:f>
        <x:v>정상</x:v>
      </x:c>
      <x:c r="S38" s="83" t="str">
        <x:f>IF(AND(A38&gt;=1,A38&lt;=120),"정상","범위 오류")</x:f>
        <x:v>정상</x:v>
      </x:c>
    </x:row>
    <x:row r="39" ht="42" customHeight="1">
      <x:c r="A39" s="83" t="n">
        <x:v>34</x:v>
      </x:c>
      <x:c r="B39" s="83" t="str">
        <x:v>통신</x:v>
      </x:c>
      <x:c r="C39" s="83" t="str">
        <x:v>Automation1 연동 기능 구현</x:v>
      </x:c>
      <x:c r="D39" s="83" t="str">
        <x:v>Automation1 연동 기능 구현</x:v>
      </x:c>
      <x:c r="E39" s="84" t="n">
        <x:v>0.7</x:v>
      </x:c>
      <x:c r="F39" s="83" t="str">
        <x:v>진행 중</x:v>
      </x:c>
      <x:c r="G39" s="83" t="str">
        <x:v>P2</x:v>
      </x:c>
      <x:c r="H39" s="83" t="str">
        <x:v>기본 기능 구현 중. 연계 시나리오와 예외 처리 보완 예정.</x:v>
      </x:c>
      <x:c r="I39" s="83" t="str">
        <x:v>AM-006, AM-015, MM-003, SS-003, SS-007</x:v>
      </x:c>
      <x:c r="J39" s="83" t="str">
        <x:v>부분 구현 확인</x:v>
      </x:c>
      <x:c r="K39" s="84" t="n">
        <x:v>0.84</x:v>
      </x:c>
      <x:c r="L39" s="83" t="str">
        <x:v>-14%p (보고-코드)</x:v>
      </x:c>
      <x:c r="M39" s="83" t="str">
        <x:v>Automation1 연결·Script Load/Run/Stop/Status 및 IO 함수 경로 확인</x:v>
      </x:c>
      <x:c r="N39" s="83" t="str">
        <x:v>GL4 실제 Controller/Task 동시실행·Fault 복구 미검증</x:v>
      </x:c>
      <x:c r="O39" s="83" t="str">
        <x:v>코드완성→단위시험→통합/실장비 검증</x:v>
      </x:c>
      <x:c r="P39" s="83" t="str">
        <x:v>03-07, 09-05, 10-02, 05-04, 06-01, 08-02, 08-04</x:v>
      </x:c>
      <x:c r="Q39" s="83" t="str">
        <x:v>E-AUTOMATION</x:v>
      </x:c>
      <x:c r="R39" s="83" t="str">
        <x:f>IF(COUNTIF($A$6:$A$125,A39)=1,"정상","중복")</x:f>
        <x:v>정상</x:v>
      </x:c>
      <x:c r="S39" s="83" t="str">
        <x:f>IF(AND(A39&gt;=1,A39&lt;=120),"정상","범위 오류")</x:f>
        <x:v>정상</x:v>
      </x:c>
    </x:row>
    <x:row r="40" ht="42" customHeight="1">
      <x:c r="A40" s="83" t="n">
        <x:v>35</x:v>
      </x:c>
      <x:c r="B40" s="83" t="str">
        <x:v>File/Data</x:v>
      </x:c>
      <x:c r="C40" s="83" t="str">
        <x:v>CSV Parser - CSV 읽기 기능</x:v>
      </x:c>
      <x:c r="D40" s="83" t="str">
        <x:v>CSV 문서를 일관된 기준으로 읽는 기능 구현</x:v>
      </x:c>
      <x:c r="E40" s="84" t="n">
        <x:v>0.95</x:v>
      </x:c>
      <x:c r="F40" s="83" t="str">
        <x:v>완료</x:v>
      </x:c>
      <x:c r="G40" s="83" t="str">
        <x:v>P3</x:v>
      </x:c>
      <x:c r="H40" s="83" t="str">
        <x:v>주요 기능 구현 완료. 운영 조건 및 실장비 최종 확인 예정.</x:v>
      </x:c>
      <x:c r="I40" s="83" t="str"/>
      <x:c r="J40" s="83" t="str">
        <x:v>구현·빌드·회귀시험 확인</x:v>
      </x:c>
      <x:c r="K40" s="84" t="n">
        <x:v>0.88</x:v>
      </x:c>
      <x:c r="L40" s="83" t="str">
        <x:v>+7%p (보고-코드)</x:v>
      </x:c>
      <x:c r="M40" s="83" t="str">
        <x:v>CSV quoting/round-trip/형식 검증 회귀시험 PASS</x:v>
      </x:c>
      <x:c r="N40" s="83" t="str">
        <x:v>대용량·손상파일·원자적 교체 복구 정책 추가 필요</x:v>
      </x:c>
      <x:c r="O40" s="83" t="str">
        <x:v>회귀 PASS 유지 + 실장비/통합 검증</x:v>
      </x:c>
      <x:c r="P40" s="83" t="str">
        <x:v>11-08</x:v>
      </x:c>
      <x:c r="Q40" s="83" t="str">
        <x:v>E-CSV</x:v>
      </x:c>
      <x:c r="R40" s="83" t="str">
        <x:f>IF(COUNTIF($A$6:$A$125,A40)=1,"정상","중복")</x:f>
        <x:v>정상</x:v>
      </x:c>
      <x:c r="S40" s="83" t="str">
        <x:f>IF(AND(A40&gt;=1,A40&lt;=120),"정상","범위 오류")</x:f>
        <x:v>정상</x:v>
      </x:c>
    </x:row>
    <x:row r="41" ht="42" customHeight="1">
      <x:c r="A41" s="83" t="n">
        <x:v>36</x:v>
      </x:c>
      <x:c r="B41" s="83" t="str">
        <x:v>File/Data</x:v>
      </x:c>
      <x:c r="C41" s="83" t="str">
        <x:v>CSV Parser - CSV 구문 분석 기능</x:v>
      </x:c>
      <x:c r="D41" s="83" t="str">
        <x:v>CSV 문서를 일관된 기준으로 구문 분석하는 기능 구현</x:v>
      </x:c>
      <x:c r="E41" s="84" t="n">
        <x:v>0.95</x:v>
      </x:c>
      <x:c r="F41" s="83" t="str">
        <x:v>완료</x:v>
      </x:c>
      <x:c r="G41" s="83" t="str">
        <x:v>P3</x:v>
      </x:c>
      <x:c r="H41" s="83" t="str">
        <x:v>주요 기능 구현 완료. 운영 조건 및 실장비 최종 확인 예정.</x:v>
      </x:c>
      <x:c r="I41" s="83" t="str"/>
      <x:c r="J41" s="83" t="str">
        <x:v>구현·빌드·회귀시험 확인</x:v>
      </x:c>
      <x:c r="K41" s="84" t="n">
        <x:v>0.88</x:v>
      </x:c>
      <x:c r="L41" s="83" t="str">
        <x:v>+7%p (보고-코드)</x:v>
      </x:c>
      <x:c r="M41" s="83" t="str">
        <x:v>CSV quoting/round-trip/형식 검증 회귀시험 PASS</x:v>
      </x:c>
      <x:c r="N41" s="83" t="str">
        <x:v>대용량·손상파일·원자적 교체 복구 정책 추가 필요</x:v>
      </x:c>
      <x:c r="O41" s="83" t="str">
        <x:v>회귀 PASS 유지 + 실장비/통합 검증</x:v>
      </x:c>
      <x:c r="P41" s="83" t="str">
        <x:v>11-08</x:v>
      </x:c>
      <x:c r="Q41" s="83" t="str">
        <x:v>E-CSV</x:v>
      </x:c>
      <x:c r="R41" s="83" t="str">
        <x:f>IF(COUNTIF($A$6:$A$125,A41)=1,"정상","중복")</x:f>
        <x:v>정상</x:v>
      </x:c>
      <x:c r="S41" s="83" t="str">
        <x:f>IF(AND(A41&gt;=1,A41&lt;=120),"정상","범위 오류")</x:f>
        <x:v>정상</x:v>
      </x:c>
    </x:row>
    <x:row r="42" ht="42" customHeight="1">
      <x:c r="A42" s="83" t="n">
        <x:v>37</x:v>
      </x:c>
      <x:c r="B42" s="83" t="str">
        <x:v>File/Data</x:v>
      </x:c>
      <x:c r="C42" s="83" t="str">
        <x:v>Automation1 Script 파일 관리 구현</x:v>
      </x:c>
      <x:c r="D42" s="83" t="str">
        <x:v>Automation1 Script 파일의 저장·삭제 등 관리 구조 정립</x:v>
      </x:c>
      <x:c r="E42" s="84" t="n">
        <x:v>0.9</x:v>
      </x:c>
      <x:c r="F42" s="83" t="str">
        <x:v>완료</x:v>
      </x:c>
      <x:c r="G42" s="83" t="str">
        <x:v>P3</x:v>
      </x:c>
      <x:c r="H42" s="83" t="str">
        <x:v>주요 기능 구현 완료. 운영 조건 및 실장비 최종 확인 예정.</x:v>
      </x:c>
      <x:c r="I42" s="83" t="str"/>
      <x:c r="J42" s="83" t="str">
        <x:v>구현·빌드·회귀시험 확인</x:v>
      </x:c>
      <x:c r="K42" s="84" t="n">
        <x:v>0.88</x:v>
      </x:c>
      <x:c r="L42" s="83" t="str">
        <x:v>+2%p (보고-코드)</x:v>
      </x:c>
      <x:c r="M42" s="83" t="str">
        <x:v>Head별 Script, GX/GY, Encoder/AUX wait, PSO/ShotDelay 생성과 Golden 회귀 PASS</x:v>
      </x:c>
      <x:c r="N42" s="83" t="str">
        <x:v>Lead-in/out 명시 규칙·실제 8 Head GL4 동기 검증 미수행</x:v>
      </x:c>
      <x:c r="O42" s="83" t="str">
        <x:v>회귀 PASS 유지 + 실장비/통합 검증</x:v>
      </x:c>
      <x:c r="P42" s="83" t="str">
        <x:v>11-08</x:v>
      </x:c>
      <x:c r="Q42" s="83" t="str">
        <x:v>E-SCRIPT</x:v>
      </x:c>
      <x:c r="R42" s="83" t="str">
        <x:f>IF(COUNTIF($A$6:$A$125,A42)=1,"정상","중복")</x:f>
        <x:v>정상</x:v>
      </x:c>
      <x:c r="S42" s="83" t="str">
        <x:f>IF(AND(A42&gt;=1,A42&lt;=120),"정상","범위 오류")</x:f>
        <x:v>정상</x:v>
      </x:c>
    </x:row>
    <x:row r="43" ht="42" customHeight="1">
      <x:c r="A43" s="83" t="n">
        <x:v>38</x:v>
      </x:c>
      <x:c r="B43" s="83" t="str">
        <x:v>File/Data</x:v>
      </x:c>
      <x:c r="C43" s="83" t="str">
        <x:v>I/F Config - 항목 구조 확정</x:v>
      </x:c>
      <x:c r="D43" s="83" t="str">
        <x:v>JHMI_INTERFACE.CSV 항목 구조 정립</x:v>
      </x:c>
      <x:c r="E43" s="84" t="n">
        <x:v>0.85</x:v>
      </x:c>
      <x:c r="F43" s="83" t="str">
        <x:v>진행 중</x:v>
      </x:c>
      <x:c r="G43" s="83" t="str">
        <x:v>P3</x:v>
      </x:c>
      <x:c r="H43" s="83" t="str">
        <x:v>주요 기능 구현 완료. 장비 연동 및 통합 시험을 통해 안정화 예정.</x:v>
      </x:c>
      <x:c r="I43" s="83" t="str">
        <x:v>SS-007</x:v>
      </x:c>
      <x:c r="J43" s="83" t="str">
        <x:v>부분 구현 확인</x:v>
      </x:c>
      <x:c r="K43" s="84" t="n">
        <x:v>0.82</x:v>
      </x:c>
      <x:c r="L43" s="83" t="str">
        <x:v>+3%p (보고-코드)</x:v>
      </x:c>
      <x:c r="M43" s="83" t="str">
        <x:v>Serial/Socket/Melsec/Automation1 장비 등록·연결·명령·로그·재연결 경로 확인</x:v>
      </x:c>
      <x:c r="N43" s="83" t="str">
        <x:v>장비별 재연결 backoff와 최대 재시도 정책 미확정</x:v>
      </x:c>
      <x:c r="O43" s="83" t="str">
        <x:v>코드완성→단위시험→통합/실장비 검증</x:v>
      </x:c>
      <x:c r="P43" s="83" t="str">
        <x:v>03-07</x:v>
      </x:c>
      <x:c r="Q43" s="83" t="str">
        <x:v>E-IF-MANAGER</x:v>
      </x:c>
      <x:c r="R43" s="83" t="str">
        <x:f>IF(COUNTIF($A$6:$A$125,A43)=1,"정상","중복")</x:f>
        <x:v>정상</x:v>
      </x:c>
      <x:c r="S43" s="83" t="str">
        <x:f>IF(AND(A43&gt;=1,A43&lt;=120),"정상","범위 오류")</x:f>
        <x:v>정상</x:v>
      </x:c>
    </x:row>
    <x:row r="44" ht="42" customHeight="1">
      <x:c r="A44" s="83" t="n">
        <x:v>39</x:v>
      </x:c>
      <x:c r="B44" s="83" t="str">
        <x:v>File/Data</x:v>
      </x:c>
      <x:c r="C44" s="83" t="str">
        <x:v>Motor Config - 항목 구조 확정</x:v>
      </x:c>
      <x:c r="D44" s="83" t="str">
        <x:v>JHMI_MOTOR.CSV 항목 구조 정립</x:v>
      </x:c>
      <x:c r="E44" s="84" t="n">
        <x:v>0.75</x:v>
      </x:c>
      <x:c r="F44" s="83" t="str">
        <x:v>진행 중</x:v>
      </x:c>
      <x:c r="G44" s="83" t="str">
        <x:v>P3</x:v>
      </x:c>
      <x:c r="H44" s="83" t="str">
        <x:v>주요 기능 구현 완료. 장비 연동 및 통합 시험을 통해 안정화 예정.</x:v>
      </x:c>
      <x:c r="I44" s="83" t="str">
        <x:v>SS-003</x:v>
      </x:c>
      <x:c r="J44" s="83" t="str">
        <x:v>구현·빌드·회귀시험 확인</x:v>
      </x:c>
      <x:c r="K44" s="84" t="n">
        <x:v>0.87</x:v>
      </x:c>
      <x:c r="L44" s="83" t="str">
        <x:v>-12%p (보고-코드)</x:v>
      </x:c>
      <x:c r="M44" s="83" t="str">
        <x:v>Setting 저장/로드/범위 검증 round-trip PASS</x:v>
      </x:c>
      <x:c r="N44" s="83" t="str">
        <x:v>설정 백업/복구·버전 Migration 미완</x:v>
      </x:c>
      <x:c r="O44" s="83" t="str">
        <x:v>회귀 PASS 유지 + 실장비/통합 검증</x:v>
      </x:c>
      <x:c r="P44" s="83" t="str">
        <x:v>08-02, 08-04</x:v>
      </x:c>
      <x:c r="Q44" s="83" t="str">
        <x:v>E-SETTING-FILE</x:v>
      </x:c>
      <x:c r="R44" s="83" t="str">
        <x:f>IF(COUNTIF($A$6:$A$125,A44)=1,"정상","중복")</x:f>
        <x:v>정상</x:v>
      </x:c>
      <x:c r="S44" s="83" t="str">
        <x:f>IF(AND(A44&gt;=1,A44&lt;=120),"정상","범위 오류")</x:f>
        <x:v>정상</x:v>
      </x:c>
    </x:row>
    <x:row r="45" ht="42" customHeight="1">
      <x:c r="A45" s="83" t="n">
        <x:v>40</x:v>
      </x:c>
      <x:c r="B45" s="83" t="str">
        <x:v>File/Data</x:v>
      </x:c>
      <x:c r="C45" s="83" t="str">
        <x:v>Recipe Config 및 Recipe 파일 - 항목 구조 확정</x:v>
      </x:c>
      <x:c r="D45" s="83" t="str">
        <x:v>JHMI_RCP.CSV 항목 구조 정립</x:v>
      </x:c>
      <x:c r="E45" s="84" t="n">
        <x:v>0.95</x:v>
      </x:c>
      <x:c r="F45" s="83" t="str">
        <x:v>완료</x:v>
      </x:c>
      <x:c r="G45" s="83" t="str">
        <x:v>P3</x:v>
      </x:c>
      <x:c r="H45" s="83" t="str">
        <x:v>주요 기능 구현 완료. 운영 조건 및 실장비 최종 확인 예정.</x:v>
      </x:c>
      <x:c r="I45" s="83" t="str">
        <x:v>RD-006</x:v>
      </x:c>
      <x:c r="J45" s="83" t="str">
        <x:v>구현·빌드·회귀시험 확인</x:v>
      </x:c>
      <x:c r="K45" s="84" t="n">
        <x:v>0.88</x:v>
      </x:c>
      <x:c r="L45" s="83" t="str">
        <x:v>+7%p (보고-코드)</x:v>
      </x:c>
      <x:c r="M45" s="83" t="str">
        <x:v>Recipe 저장/로드/삭제/이름변경/변경로그와 round-trip PASS</x:v>
      </x:c>
      <x:c r="N45" s="83" t="str">
        <x:v>보정데이터 포함 복사·PPID 매칭·Auto Job Change 미완</x:v>
      </x:c>
      <x:c r="O45" s="83" t="str">
        <x:v>회귀 PASS 유지 + 실장비/통합 검증</x:v>
      </x:c>
      <x:c r="P45" s="83" t="str">
        <x:v>04-03</x:v>
      </x:c>
      <x:c r="Q45" s="83" t="str">
        <x:v>E-RECIPE-FILE</x:v>
      </x:c>
      <x:c r="R45" s="83" t="str">
        <x:f>IF(COUNTIF($A$6:$A$125,A45)=1,"정상","중복")</x:f>
        <x:v>정상</x:v>
      </x:c>
      <x:c r="S45" s="83" t="str">
        <x:f>IF(AND(A45&gt;=1,A45&lt;=120),"정상","범위 오류")</x:f>
        <x:v>정상</x:v>
      </x:c>
    </x:row>
    <x:row r="46" ht="42" customHeight="1">
      <x:c r="A46" s="83" t="n">
        <x:v>41</x:v>
      </x:c>
      <x:c r="B46" s="83" t="str">
        <x:v>File/Data</x:v>
      </x:c>
      <x:c r="C46" s="83" t="str">
        <x:v>JHMI_SETTING Config 항목 구조 확정</x:v>
      </x:c>
      <x:c r="D46" s="83" t="str">
        <x:v>JHMI_SETTING 항목 구조 정립</x:v>
      </x:c>
      <x:c r="E46" s="84" t="n">
        <x:v>0.9</x:v>
      </x:c>
      <x:c r="F46" s="83" t="str">
        <x:v>완료</x:v>
      </x:c>
      <x:c r="G46" s="83" t="str">
        <x:v>P3</x:v>
      </x:c>
      <x:c r="H46" s="83" t="str">
        <x:v>주요 기능 구현 완료. 운영 조건 및 실장비 최종 확인 예정.</x:v>
      </x:c>
      <x:c r="I46" s="83" t="str">
        <x:v>AM-016, SS-008</x:v>
      </x:c>
      <x:c r="J46" s="83" t="str">
        <x:v>구현·빌드·회귀시험 확인</x:v>
      </x:c>
      <x:c r="K46" s="84" t="n">
        <x:v>0.87</x:v>
      </x:c>
      <x:c r="L46" s="83" t="str">
        <x:v>+3%p (보고-코드)</x:v>
      </x:c>
      <x:c r="M46" s="83" t="str">
        <x:v>Setting 저장/로드/범위 검증 round-trip PASS</x:v>
      </x:c>
      <x:c r="N46" s="83" t="str">
        <x:v>설정 백업/복구·버전 Migration 미완</x:v>
      </x:c>
      <x:c r="O46" s="83" t="str">
        <x:v>회귀 PASS 유지 + 실장비/통합 검증</x:v>
      </x:c>
      <x:c r="P46" s="83" t="str">
        <x:v>02-04, 04-06, 01-06, 10-04</x:v>
      </x:c>
      <x:c r="Q46" s="83" t="str">
        <x:v>E-SETTING-FILE</x:v>
      </x:c>
      <x:c r="R46" s="83" t="str">
        <x:f>IF(COUNTIF($A$6:$A$125,A46)=1,"정상","중복")</x:f>
        <x:v>정상</x:v>
      </x:c>
      <x:c r="S46" s="83" t="str">
        <x:f>IF(AND(A46&gt;=1,A46&lt;=120),"정상","범위 오류")</x:f>
        <x:v>정상</x:v>
      </x:c>
    </x:row>
    <x:row r="47" ht="42" customHeight="1">
      <x:c r="A47" s="83" t="n">
        <x:v>42</x:v>
      </x:c>
      <x:c r="B47" s="83" t="str">
        <x:v>File/Data</x:v>
      </x:c>
      <x:c r="C47" s="83" t="str">
        <x:v>BET Table 문서 구조 확정</x:v>
      </x:c>
      <x:c r="D47" s="83" t="str">
        <x:v>BET Table 문서의 확장자 및 구조 정립</x:v>
      </x:c>
      <x:c r="E47" s="84" t="n">
        <x:v>0.85</x:v>
      </x:c>
      <x:c r="F47" s="83" t="str">
        <x:v>진행 중</x:v>
      </x:c>
      <x:c r="G47" s="83" t="str">
        <x:v>P3</x:v>
      </x:c>
      <x:c r="H47" s="83" t="str">
        <x:v>주요 기능 구현 완료. 장비 연동 및 통합 시험을 통해 안정화 예정.</x:v>
      </x:c>
      <x:c r="I47" s="83" t="str"/>
      <x:c r="J47" s="83" t="str">
        <x:v>부분 구현 확인</x:v>
      </x:c>
      <x:c r="K47" s="84" t="n">
        <x:v>0.74</x:v>
      </x:c>
      <x:c r="L47" s="83" t="str">
        <x:v>+11%p (보고-코드)</x:v>
      </x:c>
      <x:c r="M47" s="83" t="str">
        <x:v>Beam Expander L1/L2 성격 명령과 Simulation 회귀 근거 확인</x:v>
      </x:c>
      <x:c r="N47" s="83" t="str">
        <x:v>실제 광학계 위치 공차·복귀 안전조건 미검증</x:v>
      </x:c>
      <x:c r="O47" s="83" t="str">
        <x:v>코드완성→단위시험→통합/실장비 검증</x:v>
      </x:c>
      <x:c r="P47" s="83" t="str">
        <x:v>11-08</x:v>
      </x:c>
      <x:c r="Q47" s="83" t="str">
        <x:v>E-BET</x:v>
      </x:c>
      <x:c r="R47" s="83" t="str">
        <x:f>IF(COUNTIF($A$6:$A$125,A47)=1,"정상","중복")</x:f>
        <x:v>정상</x:v>
      </x:c>
      <x:c r="S47" s="83" t="str">
        <x:f>IF(AND(A47&gt;=1,A47&lt;=120),"정상","범위 오류")</x:f>
        <x:v>정상</x:v>
      </x:c>
    </x:row>
    <x:row r="48" ht="42" customHeight="1">
      <x:c r="A48" s="83" t="n">
        <x:v>43</x:v>
      </x:c>
      <x:c r="B48" s="83" t="str">
        <x:v>File/Data</x:v>
      </x:c>
      <x:c r="C48" s="83" t="str">
        <x:v>PowerMeter Process - 항목 구조 확정</x:v>
      </x:c>
      <x:c r="D48" s="83" t="str">
        <x:v>JHMI_PowerMeter.CSV의 항목 구조 정립</x:v>
      </x:c>
      <x:c r="E48" s="84" t="n">
        <x:v>0.75</x:v>
      </x:c>
      <x:c r="F48" s="83" t="str">
        <x:v>진행 중</x:v>
      </x:c>
      <x:c r="G48" s="83" t="str">
        <x:v>P3</x:v>
      </x:c>
      <x:c r="H48" s="83" t="str">
        <x:v>주요 기능 구현 완료. 장비 연동 및 통합 시험을 통해 안정화 예정.</x:v>
      </x:c>
      <x:c r="I48" s="83" t="str">
        <x:v>SS-004, SS-005</x:v>
      </x:c>
      <x:c r="J48" s="83" t="str">
        <x:v>부분 구현 확인</x:v>
      </x:c>
      <x:c r="K48" s="84" t="n">
        <x:v>0.72</x:v>
      </x:c>
      <x:c r="L48" s="83" t="str">
        <x:v>+3%p (보고-코드)</x:v>
      </x:c>
      <x:c r="M48" s="83" t="str">
        <x:v>PowerMeter 설정/측정 명령과 Monitor 측정 Sequence 확인</x:v>
      </x:c>
      <x:c r="N48" s="83" t="str">
        <x:v>ATT 폐루프 자동 보정·반복 종료조건·실측 재현성 미완</x:v>
      </x:c>
      <x:c r="O48" s="83" t="str">
        <x:v>코드완성→단위시험→통합/실장비 검증</x:v>
      </x:c>
      <x:c r="P48" s="83" t="str">
        <x:v>09-04, 09-03</x:v>
      </x:c>
      <x:c r="Q48" s="83" t="str">
        <x:v>E-POWERMETER</x:v>
      </x:c>
      <x:c r="R48" s="83" t="str">
        <x:f>IF(COUNTIF($A$6:$A$125,A48)=1,"정상","중복")</x:f>
        <x:v>정상</x:v>
      </x:c>
      <x:c r="S48" s="83" t="str">
        <x:f>IF(AND(A48&gt;=1,A48&lt;=120),"정상","범위 오류")</x:f>
        <x:v>정상</x:v>
      </x:c>
    </x:row>
    <x:row r="49" ht="42" customHeight="1">
      <x:c r="A49" s="83" t="n">
        <x:v>44</x:v>
      </x:c>
      <x:c r="B49" s="83" t="str">
        <x:v>File/Data</x:v>
      </x:c>
      <x:c r="C49" s="83" t="str">
        <x:v>Manual Scan 문서 구조 확정</x:v>
      </x:c>
      <x:c r="D49" s="83" t="str">
        <x:v>Manual 화면 내 Scan Config 문서 확장자 및 구조 정립</x:v>
      </x:c>
      <x:c r="E49" s="84" t="n">
        <x:v>0.85</x:v>
      </x:c>
      <x:c r="F49" s="83" t="str">
        <x:v>진행 중</x:v>
      </x:c>
      <x:c r="G49" s="83" t="str">
        <x:v>P3</x:v>
      </x:c>
      <x:c r="H49" s="83" t="str">
        <x:v>주요 기능 구현 완료. 장비 연동 및 통합 시험을 통해 안정화 예정.</x:v>
      </x:c>
      <x:c r="I49" s="83" t="str">
        <x:v>MM-005</x:v>
      </x:c>
      <x:c r="J49" s="83" t="str">
        <x:v>부분 구현 확인</x:v>
      </x:c>
      <x:c r="K49" s="84" t="n">
        <x:v>0.76</x:v>
      </x:c>
      <x:c r="L49" s="83" t="str">
        <x:v>+9%p (보고-코드)</x:v>
      </x:c>
      <x:c r="M49" s="83" t="str">
        <x:v>Stage/Scanner/Vision 명령과 수동 패턴 Script 생성 로직 확인</x:v>
      </x:c>
      <x:c r="N49" s="83" t="str">
        <x:v>Stage/Vision 실장비 및 IOF/PtoP/TEG 동작 미검증</x:v>
      </x:c>
      <x:c r="O49" s="83" t="str">
        <x:v>코드완성→단위시험→통합/실장비 검증</x:v>
      </x:c>
      <x:c r="P49" s="83" t="str">
        <x:v>06-03</x:v>
      </x:c>
      <x:c r="Q49" s="83" t="str">
        <x:v>E-UI-MANUAL</x:v>
      </x:c>
      <x:c r="R49" s="83" t="str">
        <x:f>IF(COUNTIF($A$6:$A$125,A49)=1,"정상","중복")</x:f>
        <x:v>정상</x:v>
      </x:c>
      <x:c r="S49" s="83" t="str">
        <x:f>IF(AND(A49&gt;=1,A49&lt;=120),"정상","범위 오류")</x:f>
        <x:v>정상</x:v>
      </x:c>
    </x:row>
    <x:row r="50" ht="42" customHeight="1">
      <x:c r="A50" s="83" t="n">
        <x:v>45</x:v>
      </x:c>
      <x:c r="B50" s="83" t="str">
        <x:v>File/Data</x:v>
      </x:c>
      <x:c r="C50" s="83" t="str">
        <x:v>Product 관리 문서 구조 확정</x:v>
      </x:c>
      <x:c r="D50" s="83" t="str">
        <x:v>Product Data 관련 문서 확장자 및 구조 정립</x:v>
      </x:c>
      <x:c r="E50" s="84" t="n">
        <x:v>0.7</x:v>
      </x:c>
      <x:c r="F50" s="83" t="str">
        <x:v>진행 중</x:v>
      </x:c>
      <x:c r="G50" s="83" t="str">
        <x:v>P2</x:v>
      </x:c>
      <x:c r="H50" s="83" t="str">
        <x:v>기본 기능 구현 중. 연계 시나리오와 예외 처리 보완 예정.</x:v>
      </x:c>
      <x:c r="I50" s="83" t="str">
        <x:v>AM-001</x:v>
      </x:c>
      <x:c r="J50" s="83" t="str">
        <x:v>부분 구현 확인</x:v>
      </x:c>
      <x:c r="K50" s="84" t="n">
        <x:v>0.68</x:v>
      </x:c>
      <x:c r="L50" s="83" t="str">
        <x:v>+2%p (보고-코드)</x:v>
      </x:c>
      <x:c r="M50" s="83" t="str">
        <x:v>Active/History Product 파일 구조와 기록 경로 확인</x:v>
      </x:c>
      <x:c r="N50" s="83" t="str">
        <x:v>일부 Load 탐색이 null 반환하며 CIM 결과 정합성 미검증</x:v>
      </x:c>
      <x:c r="O50" s="83" t="str">
        <x:v>코드완성→단위시험→통합/실장비 검증</x:v>
      </x:c>
      <x:c r="P50" s="83" t="str">
        <x:v>03-01, 02-01</x:v>
      </x:c>
      <x:c r="Q50" s="83" t="str">
        <x:v>E-PRODUCT-FILE</x:v>
      </x:c>
      <x:c r="R50" s="83" t="str">
        <x:f>IF(COUNTIF($A$6:$A$125,A50)=1,"정상","중복")</x:f>
        <x:v>정상</x:v>
      </x:c>
      <x:c r="S50" s="83" t="str">
        <x:f>IF(AND(A50&gt;=1,A50&lt;=120),"정상","범위 오류")</x:f>
        <x:v>정상</x:v>
      </x:c>
    </x:row>
    <x:row r="51" ht="42" customHeight="1">
      <x:c r="A51" s="83" t="n">
        <x:v>46</x:v>
      </x:c>
      <x:c r="B51" s="83" t="str">
        <x:v>File/Data</x:v>
      </x:c>
      <x:c r="C51" s="83" t="str">
        <x:v>Alarm 문서 구조 확정</x:v>
      </x:c>
      <x:c r="D51" s="83" t="str">
        <x:v>Alarm 관련 Data 관리 확장자 및 구조 정립</x:v>
      </x:c>
      <x:c r="E51" s="84" t="n">
        <x:v>0.45</x:v>
      </x:c>
      <x:c r="F51" s="83" t="str">
        <x:v>진행 중</x:v>
      </x:c>
      <x:c r="G51" s="83" t="str">
        <x:v>P2</x:v>
      </x:c>
      <x:c r="H51" s="83" t="str">
        <x:v>핵심 구조 개발 중. 장비 연동 및 기능 안정화가 필요.</x:v>
      </x:c>
      <x:c r="I51" s="83" t="str"/>
      <x:c r="J51" s="83" t="str">
        <x:v>부분 구현 확인</x:v>
      </x:c>
      <x:c r="K51" s="84" t="n">
        <x:v>0.55</x:v>
      </x:c>
      <x:c r="L51" s="83" t="str">
        <x:v>-10%p (보고-코드)</x:v>
      </x:c>
      <x:c r="M51" s="83" t="str">
        <x:v>Alarm Rule 평가·중복 발생 안정성·Recovery Action 모델 회귀 확인</x:v>
      </x:c>
      <x:c r="N51" s="83" t="str">
        <x:v>고객 Alarm Code Map/Reset Handshake/History 보존정책 미확정</x:v>
      </x:c>
      <x:c r="O51" s="83" t="str">
        <x:v>코드완성→단위시험→통합/실장비 검증</x:v>
      </x:c>
      <x:c r="P51" s="83" t="str">
        <x:v>11-08</x:v>
      </x:c>
      <x:c r="Q51" s="83" t="str">
        <x:v>E-ALARM</x:v>
      </x:c>
      <x:c r="R51" s="83" t="str">
        <x:f>IF(COUNTIF($A$6:$A$125,A51)=1,"정상","중복")</x:f>
        <x:v>정상</x:v>
      </x:c>
      <x:c r="S51" s="83" t="str">
        <x:f>IF(AND(A51&gt;=1,A51&lt;=120),"정상","범위 오류")</x:f>
        <x:v>정상</x:v>
      </x:c>
    </x:row>
    <x:row r="52" ht="42" customHeight="1">
      <x:c r="A52" s="83" t="n">
        <x:v>47</x:v>
      </x:c>
      <x:c r="B52" s="83" t="str">
        <x:v>Sequence</x:v>
      </x:c>
      <x:c r="C52" s="83" t="str">
        <x:v>PreCheck Step 구현</x:v>
      </x:c>
      <x:c r="D52" s="83" t="str">
        <x:v>Interlock, Safety, Device Ready 등의 조건을 확인하는 Step 구현</x:v>
      </x:c>
      <x:c r="E52" s="84" t="n">
        <x:v>0.5</x:v>
      </x:c>
      <x:c r="F52" s="83" t="str">
        <x:v>진행 중</x:v>
      </x:c>
      <x:c r="G52" s="83" t="str">
        <x:v>P2</x:v>
      </x:c>
      <x:c r="H52" s="83" t="str">
        <x:v>기본 기능 구현 중. 연계 시나리오와 예외 처리 보완 예정.</x:v>
      </x:c>
      <x:c r="I52" s="83" t="str">
        <x:v>AM-008, AM-011</x:v>
      </x:c>
      <x:c r="J52" s="83" t="str">
        <x:v>부분 구현 확인</x:v>
      </x:c>
      <x:c r="K52" s="84" t="n">
        <x:v>0.78</x:v>
      </x:c>
      <x:c r="L52" s="83" t="str">
        <x:v>-28%p (보고-코드)</x:v>
      </x:c>
      <x:c r="M52" s="83" t="str">
        <x:v>PreCheck→Recipe/Product→Align→Optic→Process→Review→Power→Complete 흐름과 상태/Alarm 연결 확인</x:v>
      </x:c>
      <x:c r="N52" s="83" t="str">
        <x:v>Stage/Vision/CIM 실장비 Handshake와 전체 Recovery 미완</x:v>
      </x:c>
      <x:c r="O52" s="83" t="str">
        <x:v>코드완성→단위시험→통합/실장비 검증</x:v>
      </x:c>
      <x:c r="P52" s="83" t="str">
        <x:v>02-01, 05-02, 08-06</x:v>
      </x:c>
      <x:c r="Q52" s="83" t="str">
        <x:v>E-SEQUENCE</x:v>
      </x:c>
      <x:c r="R52" s="83" t="str">
        <x:f>IF(COUNTIF($A$6:$A$125,A52)=1,"정상","중복")</x:f>
        <x:v>정상</x:v>
      </x:c>
      <x:c r="S52" s="83" t="str">
        <x:f>IF(AND(A52&gt;=1,A52&lt;=120),"정상","범위 오류")</x:f>
        <x:v>정상</x:v>
      </x:c>
    </x:row>
    <x:row r="53" ht="42" customHeight="1">
      <x:c r="A53" s="83" t="n">
        <x:v>48</x:v>
      </x:c>
      <x:c r="B53" s="83" t="str">
        <x:v>Sequence</x:v>
      </x:c>
      <x:c r="C53" s="83" t="str">
        <x:v>Recipe/Product Check Step - Recipe Parameter 확인 구현</x:v>
      </x:c>
      <x:c r="D53" s="83" t="str">
        <x:v>Recipe 내 Parameter 비정상 여부 확인 Step 구현</x:v>
      </x:c>
      <x:c r="E53" s="84" t="n">
        <x:v>0.6</x:v>
      </x:c>
      <x:c r="F53" s="83" t="str">
        <x:v>진행 중</x:v>
      </x:c>
      <x:c r="G53" s="83" t="str">
        <x:v>P2</x:v>
      </x:c>
      <x:c r="H53" s="83" t="str">
        <x:v>기본 기능 구현 중. 연계 시나리오와 예외 처리 보완 예정.</x:v>
      </x:c>
      <x:c r="I53" s="83" t="str">
        <x:v>AM-008, AM-011</x:v>
      </x:c>
      <x:c r="J53" s="83" t="str">
        <x:v>부분 구현 확인</x:v>
      </x:c>
      <x:c r="K53" s="84" t="n">
        <x:v>0.68</x:v>
      </x:c>
      <x:c r="L53" s="83" t="str">
        <x:v>-8%p (보고-코드)</x:v>
      </x:c>
      <x:c r="M53" s="83" t="str">
        <x:v>PreCheck→Recipe/Product→Align→Optic→Process→Review→Power→Complete 흐름과 상태/Alarm 연결 확인</x:v>
      </x:c>
      <x:c r="N53" s="83" t="str">
        <x:v>Stage/Vision/CIM 실장비 Handshake와 전체 Recovery 미완</x:v>
      </x:c>
      <x:c r="O53" s="83" t="str">
        <x:v>코드완성→단위시험→통합/실장비 검증</x:v>
      </x:c>
      <x:c r="P53" s="83" t="str">
        <x:v>02-01, 05-02, 08-06</x:v>
      </x:c>
      <x:c r="Q53" s="83" t="str">
        <x:v>E-SEQUENCE</x:v>
      </x:c>
      <x:c r="R53" s="83" t="str">
        <x:f>IF(COUNTIF($A$6:$A$125,A53)=1,"정상","중복")</x:f>
        <x:v>정상</x:v>
      </x:c>
      <x:c r="S53" s="83" t="str">
        <x:f>IF(AND(A53&gt;=1,A53&lt;=120),"정상","범위 오류")</x:f>
        <x:v>정상</x:v>
      </x:c>
    </x:row>
    <x:row r="54" ht="42" customHeight="1">
      <x:c r="A54" s="83" t="n">
        <x:v>49</x:v>
      </x:c>
      <x:c r="B54" s="83" t="str">
        <x:v>Sequence</x:v>
      </x:c>
      <x:c r="C54" s="83" t="str">
        <x:v>Recipe/Product Check Step - Product Data 정합성 확인 구현</x:v>
      </x:c>
      <x:c r="D54" s="83" t="str">
        <x:v>Product Data 정합성 확인 Step 구현</x:v>
      </x:c>
      <x:c r="E54" s="84" t="n">
        <x:v>0.5</x:v>
      </x:c>
      <x:c r="F54" s="83" t="str">
        <x:v>진행 중</x:v>
      </x:c>
      <x:c r="G54" s="83" t="str">
        <x:v>P2</x:v>
      </x:c>
      <x:c r="H54" s="83" t="str">
        <x:v>기본 기능 구현 중. 연계 시나리오와 예외 처리 보완 예정.</x:v>
      </x:c>
      <x:c r="I54" s="83" t="str">
        <x:v>AM-008, AM-011</x:v>
      </x:c>
      <x:c r="J54" s="83" t="str">
        <x:v>부분 구현 확인</x:v>
      </x:c>
      <x:c r="K54" s="84" t="n">
        <x:v>0.62</x:v>
      </x:c>
      <x:c r="L54" s="83" t="str">
        <x:v>-12%p (보고-코드)</x:v>
      </x:c>
      <x:c r="M54" s="83" t="str">
        <x:v>PreCheck→Recipe/Product→Align→Optic→Process→Review→Power→Complete 흐름과 상태/Alarm 연결 확인</x:v>
      </x:c>
      <x:c r="N54" s="83" t="str">
        <x:v>Stage/Vision/CIM 실장비 Handshake와 전체 Recovery 미완</x:v>
      </x:c>
      <x:c r="O54" s="83" t="str">
        <x:v>코드완성→단위시험→통합/실장비 검증</x:v>
      </x:c>
      <x:c r="P54" s="83" t="str">
        <x:v>02-01, 05-02, 08-06</x:v>
      </x:c>
      <x:c r="Q54" s="83" t="str">
        <x:v>E-SEQUENCE</x:v>
      </x:c>
      <x:c r="R54" s="83" t="str">
        <x:f>IF(COUNTIF($A$6:$A$125,A54)=1,"정상","중복")</x:f>
        <x:v>정상</x:v>
      </x:c>
      <x:c r="S54" s="83" t="str">
        <x:f>IF(AND(A54&gt;=1,A54&lt;=120),"정상","범위 오류")</x:f>
        <x:v>정상</x:v>
      </x:c>
    </x:row>
    <x:row r="55" ht="42" customHeight="1">
      <x:c r="A55" s="83" t="n">
        <x:v>50</x:v>
      </x:c>
      <x:c r="B55" s="83" t="str">
        <x:v>Sequence</x:v>
      </x:c>
      <x:c r="C55" s="83" t="str">
        <x:v>Align Step 구현</x:v>
      </x:c>
      <x:c r="D55" s="83" t="str">
        <x:v>Align을 진행하는 Step 구현</x:v>
      </x:c>
      <x:c r="E55" s="84" t="n">
        <x:v>0.2</x:v>
      </x:c>
      <x:c r="F55" s="83" t="str">
        <x:v>예정</x:v>
      </x:c>
      <x:c r="G55" s="83" t="str">
        <x:v>P1</x:v>
      </x:c>
      <x:c r="H55" s="83" t="str">
        <x:v>초기 개발 단계. 관련 사양 확정 후 우선순위에 따라 순차 개발 예정.</x:v>
      </x:c>
      <x:c r="I55" s="83" t="str">
        <x:v>AM-008, AM-011</x:v>
      </x:c>
      <x:c r="J55" s="83" t="str">
        <x:v>UI/설정/기초 로직만 확인</x:v>
      </x:c>
      <x:c r="K55" s="84" t="n">
        <x:v>0.42</x:v>
      </x:c>
      <x:c r="L55" s="83" t="str">
        <x:v>-22%p (보고-코드)</x:v>
      </x:c>
      <x:c r="M55" s="83" t="str">
        <x:v>PreCheck→Recipe/Product→Align→Optic→Process→Review→Power→Complete 흐름과 상태/Alarm 연결 확인</x:v>
      </x:c>
      <x:c r="N55" s="83" t="str">
        <x:v>Stage/Vision/CIM 실장비 Handshake와 전체 Recovery 미완</x:v>
      </x:c>
      <x:c r="O55" s="83" t="str">
        <x:v>코드완성→단위시험→통합/실장비 검증</x:v>
      </x:c>
      <x:c r="P55" s="83" t="str">
        <x:v>02-01, 05-02, 08-06</x:v>
      </x:c>
      <x:c r="Q55" s="83" t="str">
        <x:v>E-SEQUENCE</x:v>
      </x:c>
      <x:c r="R55" s="83" t="str">
        <x:f>IF(COUNTIF($A$6:$A$125,A55)=1,"정상","중복")</x:f>
        <x:v>정상</x:v>
      </x:c>
      <x:c r="S55" s="83" t="str">
        <x:f>IF(AND(A55&gt;=1,A55&lt;=120),"정상","범위 오류")</x:f>
        <x:v>정상</x:v>
      </x:c>
    </x:row>
    <x:row r="56" ht="42" customHeight="1">
      <x:c r="A56" s="83" t="n">
        <x:v>51</x:v>
      </x:c>
      <x:c r="B56" s="83" t="str">
        <x:v>Sequence</x:v>
      </x:c>
      <x:c r="C56" s="83" t="str">
        <x:v>Stage Step 구현</x:v>
      </x:c>
      <x:c r="D56" s="83" t="str">
        <x:v>Stage 이동 및 Stage PC Motion 등의 선행 동작 Step 구현</x:v>
      </x:c>
      <x:c r="E56" s="84" t="n">
        <x:v>0.2</x:v>
      </x:c>
      <x:c r="F56" s="83" t="str">
        <x:v>예정</x:v>
      </x:c>
      <x:c r="G56" s="83" t="str">
        <x:v>P1</x:v>
      </x:c>
      <x:c r="H56" s="83" t="str">
        <x:v>초기 개발 단계. 관련 사양 확정 후 우선순위에 따라 순차 개발 예정.</x:v>
      </x:c>
      <x:c r="I56" s="83" t="str">
        <x:v>AM-008, AM-011</x:v>
      </x:c>
      <x:c r="J56" s="83" t="str">
        <x:v>UI/설정/기초 로직만 확인</x:v>
      </x:c>
      <x:c r="K56" s="84" t="n">
        <x:v>0.52</x:v>
      </x:c>
      <x:c r="L56" s="83" t="str">
        <x:v>-32%p (보고-코드)</x:v>
      </x:c>
      <x:c r="M56" s="83" t="str">
        <x:v>PreCheck→Recipe/Product→Align→Optic→Process→Review→Power→Complete 흐름과 상태/Alarm 연결 확인</x:v>
      </x:c>
      <x:c r="N56" s="83" t="str">
        <x:v>Stage/Vision/CIM 실장비 Handshake와 전체 Recovery 미완</x:v>
      </x:c>
      <x:c r="O56" s="83" t="str">
        <x:v>코드완성→단위시험→통합/실장비 검증</x:v>
      </x:c>
      <x:c r="P56" s="83" t="str">
        <x:v>02-01, 05-02, 08-06</x:v>
      </x:c>
      <x:c r="Q56" s="83" t="str">
        <x:v>E-SEQUENCE</x:v>
      </x:c>
      <x:c r="R56" s="83" t="str">
        <x:f>IF(COUNTIF($A$6:$A$125,A56)=1,"정상","중복")</x:f>
        <x:v>정상</x:v>
      </x:c>
      <x:c r="S56" s="83" t="str">
        <x:f>IF(AND(A56&gt;=1,A56&lt;=120),"정상","범위 오류")</x:f>
        <x:v>정상</x:v>
      </x:c>
    </x:row>
    <x:row r="57" ht="42" customHeight="1">
      <x:c r="A57" s="83" t="n">
        <x:v>52</x:v>
      </x:c>
      <x:c r="B57" s="83" t="str">
        <x:v>Sequence</x:v>
      </x:c>
      <x:c r="C57" s="83" t="str">
        <x:v>Optic Step 구현</x:v>
      </x:c>
      <x:c r="D57" s="83" t="str">
        <x:v>Att, BET 등의 Optic 동작 Step 구현</x:v>
      </x:c>
      <x:c r="E57" s="84" t="n">
        <x:v>0.25</x:v>
      </x:c>
      <x:c r="F57" s="83" t="str">
        <x:v>예정</x:v>
      </x:c>
      <x:c r="G57" s="83" t="str">
        <x:v>P1</x:v>
      </x:c>
      <x:c r="H57" s="83" t="str">
        <x:v>초기 개발 단계. 관련 사양 확정 후 우선순위에 따라 순차 개발 예정.</x:v>
      </x:c>
      <x:c r="I57" s="83" t="str">
        <x:v>AM-008, AM-011</x:v>
      </x:c>
      <x:c r="J57" s="83" t="str">
        <x:v>부분 구현 확인</x:v>
      </x:c>
      <x:c r="K57" s="84" t="n">
        <x:v>0.78</x:v>
      </x:c>
      <x:c r="L57" s="83" t="str">
        <x:v>-53%p (보고-코드)</x:v>
      </x:c>
      <x:c r="M57" s="83" t="str">
        <x:v>PreCheck→Recipe/Product→Align→Optic→Process→Review→Power→Complete 흐름과 상태/Alarm 연결 확인</x:v>
      </x:c>
      <x:c r="N57" s="83" t="str">
        <x:v>Stage/Vision/CIM 실장비 Handshake와 전체 Recovery 미완</x:v>
      </x:c>
      <x:c r="O57" s="83" t="str">
        <x:v>코드완성→단위시험→통합/실장비 검증</x:v>
      </x:c>
      <x:c r="P57" s="83" t="str">
        <x:v>02-01, 05-02, 08-06</x:v>
      </x:c>
      <x:c r="Q57" s="83" t="str">
        <x:v>E-SEQUENCE</x:v>
      </x:c>
      <x:c r="R57" s="83" t="str">
        <x:f>IF(COUNTIF($A$6:$A$125,A57)=1,"정상","중복")</x:f>
        <x:v>정상</x:v>
      </x:c>
      <x:c r="S57" s="83" t="str">
        <x:f>IF(AND(A57&gt;=1,A57&lt;=120),"정상","범위 오류")</x:f>
        <x:v>정상</x:v>
      </x:c>
    </x:row>
    <x:row r="58" ht="42" customHeight="1">
      <x:c r="A58" s="83" t="n">
        <x:v>53</x:v>
      </x:c>
      <x:c r="B58" s="83" t="str">
        <x:v>Sequence</x:v>
      </x:c>
      <x:c r="C58" s="83" t="str">
        <x:v>Script Build Step 구현</x:v>
      </x:c>
      <x:c r="D58" s="83" t="str">
        <x:v>Automation1 Script 생성 Step 구현</x:v>
      </x:c>
      <x:c r="E58" s="84" t="n">
        <x:v>0.8</x:v>
      </x:c>
      <x:c r="F58" s="83" t="str">
        <x:v>진행 중</x:v>
      </x:c>
      <x:c r="G58" s="83" t="str">
        <x:v>P2</x:v>
      </x:c>
      <x:c r="H58" s="83" t="str">
        <x:v>주요 기능 구현 완료. 장비 연동 및 통합 시험을 통해 안정화 예정.</x:v>
      </x:c>
      <x:c r="I58" s="83" t="str">
        <x:v>AM-008, AM-011</x:v>
      </x:c>
      <x:c r="J58" s="83" t="str">
        <x:v>구현·빌드·회귀시험 확인</x:v>
      </x:c>
      <x:c r="K58" s="84" t="n">
        <x:v>0.88</x:v>
      </x:c>
      <x:c r="L58" s="83" t="str">
        <x:v>-8%p (보고-코드)</x:v>
      </x:c>
      <x:c r="M58" s="83" t="str">
        <x:v>PreCheck→Recipe/Product→Align→Optic→Process→Review→Power→Complete 흐름과 상태/Alarm 연결 확인</x:v>
      </x:c>
      <x:c r="N58" s="83" t="str">
        <x:v>Stage/Vision/CIM 실장비 Handshake와 전체 Recovery 미완</x:v>
      </x:c>
      <x:c r="O58" s="83" t="str">
        <x:v>회귀 PASS 유지 + 실장비/통합 검증</x:v>
      </x:c>
      <x:c r="P58" s="83" t="str">
        <x:v>02-01, 05-02, 08-06</x:v>
      </x:c>
      <x:c r="Q58" s="83" t="str">
        <x:v>E-SEQUENCE</x:v>
      </x:c>
      <x:c r="R58" s="83" t="str">
        <x:f>IF(COUNTIF($A$6:$A$125,A58)=1,"정상","중복")</x:f>
        <x:v>정상</x:v>
      </x:c>
      <x:c r="S58" s="83" t="str">
        <x:f>IF(AND(A58&gt;=1,A58&lt;=120),"정상","범위 오류")</x:f>
        <x:v>정상</x:v>
      </x:c>
    </x:row>
    <x:row r="59" ht="42" customHeight="1">
      <x:c r="A59" s="83" t="n">
        <x:v>54</x:v>
      </x:c>
      <x:c r="B59" s="83" t="str">
        <x:v>Sequence</x:v>
      </x:c>
      <x:c r="C59" s="83" t="str">
        <x:v>Scanning Step 구현</x:v>
      </x:c>
      <x:c r="D59" s="83" t="str">
        <x:v>생성된 Automation1 Script를 실행하는 Step 구현</x:v>
      </x:c>
      <x:c r="E59" s="84" t="n">
        <x:v>0.45</x:v>
      </x:c>
      <x:c r="F59" s="83" t="str">
        <x:v>진행 중</x:v>
      </x:c>
      <x:c r="G59" s="83" t="str">
        <x:v>P2</x:v>
      </x:c>
      <x:c r="H59" s="83" t="str">
        <x:v>핵심 구조 개발 중. 장비 연동 및 기능 안정화가 필요.</x:v>
      </x:c>
      <x:c r="I59" s="83" t="str">
        <x:v>AM-008, AM-011</x:v>
      </x:c>
      <x:c r="J59" s="83" t="str">
        <x:v>부분 구현 확인</x:v>
      </x:c>
      <x:c r="K59" s="84" t="n">
        <x:v>0.82</x:v>
      </x:c>
      <x:c r="L59" s="83" t="str">
        <x:v>-37%p (보고-코드)</x:v>
      </x:c>
      <x:c r="M59" s="83" t="str">
        <x:v>PreCheck→Recipe/Product→Align→Optic→Process→Review→Power→Complete 흐름과 상태/Alarm 연결 확인</x:v>
      </x:c>
      <x:c r="N59" s="83" t="str">
        <x:v>Stage/Vision/CIM 실장비 Handshake와 전체 Recovery 미완</x:v>
      </x:c>
      <x:c r="O59" s="83" t="str">
        <x:v>코드완성→단위시험→통합/실장비 검증</x:v>
      </x:c>
      <x:c r="P59" s="83" t="str">
        <x:v>02-01, 05-02, 08-06</x:v>
      </x:c>
      <x:c r="Q59" s="83" t="str">
        <x:v>E-SEQUENCE</x:v>
      </x:c>
      <x:c r="R59" s="83" t="str">
        <x:f>IF(COUNTIF($A$6:$A$125,A59)=1,"정상","중복")</x:f>
        <x:v>정상</x:v>
      </x:c>
      <x:c r="S59" s="83" t="str">
        <x:f>IF(AND(A59&gt;=1,A59&lt;=120),"정상","범위 오류")</x:f>
        <x:v>정상</x:v>
      </x:c>
    </x:row>
    <x:row r="60" ht="42" customHeight="1">
      <x:c r="A60" s="83" t="n">
        <x:v>55</x:v>
      </x:c>
      <x:c r="B60" s="83" t="str">
        <x:v>Sequence</x:v>
      </x:c>
      <x:c r="C60" s="83" t="str">
        <x:v>Review Step 구현</x:v>
      </x:c>
      <x:c r="D60" s="83" t="str">
        <x:v>Review Sequence 구현</x:v>
      </x:c>
      <x:c r="E60" s="84" t="n">
        <x:v>0.75</x:v>
      </x:c>
      <x:c r="F60" s="83" t="str">
        <x:v>진행 중</x:v>
      </x:c>
      <x:c r="G60" s="83" t="str">
        <x:v>P2</x:v>
      </x:c>
      <x:c r="H60" s="83" t="str">
        <x:v>주요 기능 구현 완료. 장비 연동 및 통합 시험을 통해 안정화 예정.</x:v>
      </x:c>
      <x:c r="I60" s="83" t="str">
        <x:v>AM-008, AM-011, AM-012, MM-006, IC-001, IC-002, IC-003, IC-006, IC-007, IC-008, IC-009</x:v>
      </x:c>
      <x:c r="J60" s="83" t="str">
        <x:v>부분 구현 확인</x:v>
      </x:c>
      <x:c r="K60" s="84" t="n">
        <x:v>0.8</x:v>
      </x:c>
      <x:c r="L60" s="83" t="str">
        <x:v>-5%p (보고-코드)</x:v>
      </x:c>
      <x:c r="M60" s="83" t="str">
        <x:v>PreCheck→Recipe/Product→Align→Optic→Process→Review→Power→Complete 흐름과 상태/Alarm 연결 확인</x:v>
      </x:c>
      <x:c r="N60" s="83" t="str">
        <x:v>Stage/Vision/CIM 실장비 Handshake와 전체 Recovery 미완</x:v>
      </x:c>
      <x:c r="O60" s="83" t="str">
        <x:v>코드완성→단위시험→통합/실장비 검증</x:v>
      </x:c>
      <x:c r="P60" s="83" t="str">
        <x:v>02-01, 05-02, 08-06, 09-04, 07-05, 07-08, 07-04, 06-05, 07-06</x:v>
      </x:c>
      <x:c r="Q60" s="83" t="str">
        <x:v>E-SEQUENCE</x:v>
      </x:c>
      <x:c r="R60" s="83" t="str">
        <x:f>IF(COUNTIF($A$6:$A$125,A60)=1,"정상","중복")</x:f>
        <x:v>정상</x:v>
      </x:c>
      <x:c r="S60" s="83" t="str">
        <x:f>IF(AND(A60&gt;=1,A60&lt;=120),"정상","범위 오류")</x:f>
        <x:v>정상</x:v>
      </x:c>
    </x:row>
    <x:row r="61" ht="42" customHeight="1">
      <x:c r="A61" s="83" t="n">
        <x:v>56</x:v>
      </x:c>
      <x:c r="B61" s="83" t="str">
        <x:v>Sequence</x:v>
      </x:c>
      <x:c r="C61" s="83" t="str">
        <x:v>Power Check Step 구현</x:v>
      </x:c>
      <x:c r="D61" s="83" t="str">
        <x:v>Auto Power Check Step 구현</x:v>
      </x:c>
      <x:c r="E61" s="84" t="n">
        <x:v>0.35</x:v>
      </x:c>
      <x:c r="F61" s="83" t="str">
        <x:v>진행 중</x:v>
      </x:c>
      <x:c r="G61" s="83" t="str">
        <x:v>P2</x:v>
      </x:c>
      <x:c r="H61" s="83" t="str">
        <x:v>핵심 구조 개발 중. 장비 연동 및 기능 안정화가 필요.</x:v>
      </x:c>
      <x:c r="I61" s="83" t="str">
        <x:v>AM-008, AM-011, AM-012, SS-004</x:v>
      </x:c>
      <x:c r="J61" s="83" t="str">
        <x:v>UI/설정/기초 로직만 확인</x:v>
      </x:c>
      <x:c r="K61" s="84" t="n">
        <x:v>0.52</x:v>
      </x:c>
      <x:c r="L61" s="83" t="str">
        <x:v>-17%p (보고-코드)</x:v>
      </x:c>
      <x:c r="M61" s="83" t="str">
        <x:v>PreCheck→Recipe/Product→Align→Optic→Process→Review→Power→Complete 흐름과 상태/Alarm 연결 확인</x:v>
      </x:c>
      <x:c r="N61" s="83" t="str">
        <x:v>Stage/Vision/CIM 실장비 Handshake와 전체 Recovery 미완</x:v>
      </x:c>
      <x:c r="O61" s="83" t="str">
        <x:v>코드완성→단위시험→통합/실장비 검증</x:v>
      </x:c>
      <x:c r="P61" s="83" t="str">
        <x:v>02-01, 05-02, 08-06, 09-04, 07-05</x:v>
      </x:c>
      <x:c r="Q61" s="83" t="str">
        <x:v>E-SEQUENCE</x:v>
      </x:c>
      <x:c r="R61" s="83" t="str">
        <x:f>IF(COUNTIF($A$6:$A$125,A61)=1,"정상","중복")</x:f>
        <x:v>정상</x:v>
      </x:c>
      <x:c r="S61" s="83" t="str">
        <x:f>IF(AND(A61&gt;=1,A61&lt;=120),"정상","범위 오류")</x:f>
        <x:v>정상</x:v>
      </x:c>
    </x:row>
    <x:row r="62" ht="42" customHeight="1">
      <x:c r="A62" s="83" t="n">
        <x:v>57</x:v>
      </x:c>
      <x:c r="B62" s="83" t="str">
        <x:v>Sequence</x:v>
      </x:c>
      <x:c r="C62" s="83" t="str">
        <x:v>Process Complete Step 구현</x:v>
      </x:c>
      <x:c r="D62" s="83" t="str">
        <x:v>Processing 완료 후 처리 Step 구현</x:v>
      </x:c>
      <x:c r="E62" s="84" t="n">
        <x:v>0.6</x:v>
      </x:c>
      <x:c r="F62" s="83" t="str">
        <x:v>진행 중</x:v>
      </x:c>
      <x:c r="G62" s="83" t="str">
        <x:v>P2</x:v>
      </x:c>
      <x:c r="H62" s="83" t="str">
        <x:v>기본 기능 구현 중. 연계 시나리오와 예외 처리 보완 예정.</x:v>
      </x:c>
      <x:c r="I62" s="83" t="str">
        <x:v>AM-008, AM-011</x:v>
      </x:c>
      <x:c r="J62" s="83" t="str">
        <x:v>부분 구현 확인</x:v>
      </x:c>
      <x:c r="K62" s="84" t="n">
        <x:v>0.7</x:v>
      </x:c>
      <x:c r="L62" s="83" t="str">
        <x:v>-10%p (보고-코드)</x:v>
      </x:c>
      <x:c r="M62" s="83" t="str">
        <x:v>PreCheck→Recipe/Product→Align→Optic→Process→Review→Power→Complete 흐름과 상태/Alarm 연결 확인</x:v>
      </x:c>
      <x:c r="N62" s="83" t="str">
        <x:v>Stage/Vision/CIM 실장비 Handshake와 전체 Recovery 미완</x:v>
      </x:c>
      <x:c r="O62" s="83" t="str">
        <x:v>코드완성→단위시험→통합/실장비 검증</x:v>
      </x:c>
      <x:c r="P62" s="83" t="str">
        <x:v>02-01, 05-02, 08-06</x:v>
      </x:c>
      <x:c r="Q62" s="83" t="str">
        <x:v>E-SEQUENCE</x:v>
      </x:c>
      <x:c r="R62" s="83" t="str">
        <x:f>IF(COUNTIF($A$6:$A$125,A62)=1,"정상","중복")</x:f>
        <x:v>정상</x:v>
      </x:c>
      <x:c r="S62" s="83" t="str">
        <x:f>IF(AND(A62&gt;=1,A62&lt;=120),"정상","범위 오류")</x:f>
        <x:v>정상</x:v>
      </x:c>
    </x:row>
    <x:row r="63" ht="42" customHeight="1">
      <x:c r="A63" s="83" t="n">
        <x:v>58</x:v>
      </x:c>
      <x:c r="B63" s="83" t="str">
        <x:v>Sequence</x:v>
      </x:c>
      <x:c r="C63" s="83" t="str">
        <x:v>Sequence Stop 구현</x:v>
      </x:c>
      <x:c r="D63" s="83" t="str">
        <x:v>Sequence 중단 관련 메커니즘 구현</x:v>
      </x:c>
      <x:c r="E63" s="84" t="n">
        <x:v>0.6</x:v>
      </x:c>
      <x:c r="F63" s="83" t="str">
        <x:v>진행 중</x:v>
      </x:c>
      <x:c r="G63" s="83" t="str">
        <x:v>P2</x:v>
      </x:c>
      <x:c r="H63" s="83" t="str">
        <x:v>기본 기능 구현 중. 연계 시나리오와 예외 처리 보완 예정.</x:v>
      </x:c>
      <x:c r="I63" s="83" t="str">
        <x:v>AM-008, AM-011, AM-013</x:v>
      </x:c>
      <x:c r="J63" s="83" t="str">
        <x:v>부분 구현 확인</x:v>
      </x:c>
      <x:c r="K63" s="84" t="n">
        <x:v>0.68</x:v>
      </x:c>
      <x:c r="L63" s="83" t="str">
        <x:v>-8%p (보고-코드)</x:v>
      </x:c>
      <x:c r="M63" s="83" t="str">
        <x:v>Stop/Reset·Task Stop·Laser Safe 복귀 경로 확인</x:v>
      </x:c>
      <x:c r="N63" s="83" t="str">
        <x:v>Pause/Resume/중단점 재시작·재가공 정책 미구현</x:v>
      </x:c>
      <x:c r="O63" s="83" t="str">
        <x:v>코드완성→단위시험→통합/실장비 검증</x:v>
      </x:c>
      <x:c r="P63" s="83" t="str">
        <x:v>02-01, 05-02, 08-06, 05-04</x:v>
      </x:c>
      <x:c r="Q63" s="83" t="str">
        <x:v>E-SEQUENCE-STOP</x:v>
      </x:c>
      <x:c r="R63" s="83" t="str">
        <x:f>IF(COUNTIF($A$6:$A$125,A63)=1,"정상","중복")</x:f>
        <x:v>정상</x:v>
      </x:c>
      <x:c r="S63" s="83" t="str">
        <x:f>IF(AND(A63&gt;=1,A63&lt;=120),"정상","범위 오류")</x:f>
        <x:v>정상</x:v>
      </x:c>
    </x:row>
    <x:row r="64" ht="42" customHeight="1">
      <x:c r="A64" s="83" t="n">
        <x:v>59</x:v>
      </x:c>
      <x:c r="B64" s="83" t="str">
        <x:v>Sequence</x:v>
      </x:c>
      <x:c r="C64" s="83" t="str">
        <x:v>Recovery Sequence - 중단 처리 구현</x:v>
      </x:c>
      <x:c r="D64" s="83" t="str">
        <x:v>Recovery Sequence의 중단 처리 구현</x:v>
      </x:c>
      <x:c r="E64" s="84" t="n">
        <x:v>0.25</x:v>
      </x:c>
      <x:c r="F64" s="83" t="str">
        <x:v>예정</x:v>
      </x:c>
      <x:c r="G64" s="83" t="str">
        <x:v>P1</x:v>
      </x:c>
      <x:c r="H64" s="83" t="str">
        <x:v>초기 개발 단계. 관련 사양 확정 후 우선순위에 따라 순차 개발 예정.</x:v>
      </x:c>
      <x:c r="I64" s="83" t="str">
        <x:v>AM-013, MM-003</x:v>
      </x:c>
      <x:c r="J64" s="83" t="str">
        <x:v>UI/설정/기초 로직만 확인</x:v>
      </x:c>
      <x:c r="K64" s="84" t="n">
        <x:v>0.28</x:v>
      </x:c>
      <x:c r="L64" s="83" t="str">
        <x:v>-3%p (보고-코드)</x:v>
      </x:c>
      <x:c r="M64" s="83" t="str">
        <x:v>Stop/Reset·Task Stop·Laser Safe 복귀 경로 확인</x:v>
      </x:c>
      <x:c r="N64" s="83" t="str">
        <x:v>Pause/Resume/중단점 재시작·재가공 정책 미구현</x:v>
      </x:c>
      <x:c r="O64" s="83" t="str">
        <x:v>코드완성→단위시험→통합/실장비 검증</x:v>
      </x:c>
      <x:c r="P64" s="83" t="str">
        <x:v>05-04, 06-01</x:v>
      </x:c>
      <x:c r="Q64" s="83" t="str">
        <x:v>E-SEQUENCE-STOP</x:v>
      </x:c>
      <x:c r="R64" s="83" t="str">
        <x:f>IF(COUNTIF($A$6:$A$125,A64)=1,"정상","중복")</x:f>
        <x:v>정상</x:v>
      </x:c>
      <x:c r="S64" s="83" t="str">
        <x:f>IF(AND(A64&gt;=1,A64&lt;=120),"정상","범위 오류")</x:f>
        <x:v>정상</x:v>
      </x:c>
    </x:row>
    <x:row r="65" ht="42" customHeight="1">
      <x:c r="A65" s="83" t="n">
        <x:v>60</x:v>
      </x:c>
      <x:c r="B65" s="83" t="str">
        <x:v>Sequence</x:v>
      </x:c>
      <x:c r="C65" s="83" t="str">
        <x:v>Recovery Sequence - Alarm 후 Reset 구현</x:v>
      </x:c>
      <x:c r="D65" s="83" t="str">
        <x:v>Alarm 발생 후 Reset 메커니즘 구현</x:v>
      </x:c>
      <x:c r="E65" s="84" t="n">
        <x:v>0.1</x:v>
      </x:c>
      <x:c r="F65" s="83" t="str">
        <x:v>예정</x:v>
      </x:c>
      <x:c r="G65" s="83" t="str">
        <x:v>P1</x:v>
      </x:c>
      <x:c r="H65" s="83" t="str">
        <x:v>초기 개발 단계. 관련 사양 확정 후 우선순위에 따라 순차 개발 예정.</x:v>
      </x:c>
      <x:c r="I65" s="83" t="str">
        <x:v>AM-013, MM-003</x:v>
      </x:c>
      <x:c r="J65" s="83" t="str">
        <x:v>UI/설정/기초 로직만 확인</x:v>
      </x:c>
      <x:c r="K65" s="84" t="n">
        <x:v>0.42</x:v>
      </x:c>
      <x:c r="L65" s="83" t="str">
        <x:v>-32%p (보고-코드)</x:v>
      </x:c>
      <x:c r="M65" s="83" t="str">
        <x:v>Stop/Reset·Task Stop·Laser Safe 복귀 경로 확인</x:v>
      </x:c>
      <x:c r="N65" s="83" t="str">
        <x:v>Pause/Resume/중단점 재시작·재가공 정책 미구현</x:v>
      </x:c>
      <x:c r="O65" s="83" t="str">
        <x:v>코드완성→단위시험→통합/실장비 검증</x:v>
      </x:c>
      <x:c r="P65" s="83" t="str">
        <x:v>05-04, 06-01</x:v>
      </x:c>
      <x:c r="Q65" s="83" t="str">
        <x:v>E-SEQUENCE-STOP</x:v>
      </x:c>
      <x:c r="R65" s="83" t="str">
        <x:f>IF(COUNTIF($A$6:$A$125,A65)=1,"정상","중복")</x:f>
        <x:v>정상</x:v>
      </x:c>
      <x:c r="S65" s="83" t="str">
        <x:f>IF(AND(A65&gt;=1,A65&lt;=120),"정상","범위 오류")</x:f>
        <x:v>정상</x:v>
      </x:c>
    </x:row>
    <x:row r="66" ht="42" customHeight="1">
      <x:c r="A66" s="83" t="n">
        <x:v>61</x:v>
      </x:c>
      <x:c r="B66" s="83" t="str">
        <x:v>Sequence</x:v>
      </x:c>
      <x:c r="C66" s="83" t="str">
        <x:v>Recovery Sequence - 재시작 구현</x:v>
      </x:c>
      <x:c r="D66" s="83" t="str">
        <x:v>중단된 Sequence 재시작 메커니즘 구현</x:v>
      </x:c>
      <x:c r="E66" s="84" t="n">
        <x:v>0.1</x:v>
      </x:c>
      <x:c r="F66" s="83" t="str">
        <x:v>예정</x:v>
      </x:c>
      <x:c r="G66" s="83" t="str">
        <x:v>P1</x:v>
      </x:c>
      <x:c r="H66" s="83" t="str">
        <x:v>초기 개발 단계. 관련 사양 확정 후 우선순위에 따라 순차 개발 예정.</x:v>
      </x:c>
      <x:c r="I66" s="83" t="str">
        <x:v>AM-013, MM-003</x:v>
      </x:c>
      <x:c r="J66" s="83" t="str">
        <x:v>UI/설정/기초 로직만 확인</x:v>
      </x:c>
      <x:c r="K66" s="84" t="n">
        <x:v>0.18</x:v>
      </x:c>
      <x:c r="L66" s="83" t="str">
        <x:v>-8%p (보고-코드)</x:v>
      </x:c>
      <x:c r="M66" s="83" t="str">
        <x:v>Stop/Reset·Task Stop·Laser Safe 복귀 경로 확인</x:v>
      </x:c>
      <x:c r="N66" s="83" t="str">
        <x:v>Pause/Resume/중단점 재시작·재가공 정책 미구현</x:v>
      </x:c>
      <x:c r="O66" s="83" t="str">
        <x:v>코드완성→단위시험→통합/실장비 검증</x:v>
      </x:c>
      <x:c r="P66" s="83" t="str">
        <x:v>05-04, 06-01</x:v>
      </x:c>
      <x:c r="Q66" s="83" t="str">
        <x:v>E-SEQUENCE-STOP</x:v>
      </x:c>
      <x:c r="R66" s="83" t="str">
        <x:f>IF(COUNTIF($A$6:$A$125,A66)=1,"정상","중복")</x:f>
        <x:v>정상</x:v>
      </x:c>
      <x:c r="S66" s="83" t="str">
        <x:f>IF(AND(A66&gt;=1,A66&lt;=120),"정상","범위 오류")</x:f>
        <x:v>정상</x:v>
      </x:c>
    </x:row>
    <x:row r="67" ht="42" customHeight="1">
      <x:c r="A67" s="83" t="n">
        <x:v>62</x:v>
      </x:c>
      <x:c r="B67" s="83" t="str">
        <x:v>Sequence</x:v>
      </x:c>
      <x:c r="C67" s="83" t="str">
        <x:v>Recovery Sequence - 이어서 시작 구현</x:v>
      </x:c>
      <x:c r="D67" s="83" t="str">
        <x:v>중단 위치부터 이어서 시작하는 메커니즘 구현</x:v>
      </x:c>
      <x:c r="E67" s="84" t="n">
        <x:v>0.1</x:v>
      </x:c>
      <x:c r="F67" s="83" t="str">
        <x:v>예정</x:v>
      </x:c>
      <x:c r="G67" s="83" t="str">
        <x:v>P1</x:v>
      </x:c>
      <x:c r="H67" s="83" t="str">
        <x:v>초기 개발 단계. 관련 사양 확정 후 우선순위에 따라 순차 개발 예정.</x:v>
      </x:c>
      <x:c r="I67" s="83" t="str">
        <x:v>AM-013, MM-003</x:v>
      </x:c>
      <x:c r="J67" s="83" t="str">
        <x:v>직접 구현 근거 없음</x:v>
      </x:c>
      <x:c r="K67" s="84" t="n">
        <x:v>0.12</x:v>
      </x:c>
      <x:c r="L67" s="83" t="str">
        <x:v>-2%p (보고-코드)</x:v>
      </x:c>
      <x:c r="M67" s="83" t="str">
        <x:v>Stop/Reset·Task Stop·Laser Safe 복귀 경로 확인</x:v>
      </x:c>
      <x:c r="N67" s="83" t="str">
        <x:v>Pause/Resume/중단점 재시작·재가공 정책 미구현</x:v>
      </x:c>
      <x:c r="O67" s="83" t="str">
        <x:v>코드완성→단위시험→통합/실장비 검증</x:v>
      </x:c>
      <x:c r="P67" s="83" t="str">
        <x:v>05-04, 06-01</x:v>
      </x:c>
      <x:c r="Q67" s="83" t="str">
        <x:v>E-SEQUENCE-STOP</x:v>
      </x:c>
      <x:c r="R67" s="83" t="str">
        <x:f>IF(COUNTIF($A$6:$A$125,A67)=1,"정상","중복")</x:f>
        <x:v>정상</x:v>
      </x:c>
      <x:c r="S67" s="83" t="str">
        <x:f>IF(AND(A67&gt;=1,A67&lt;=120),"정상","범위 오류")</x:f>
        <x:v>정상</x:v>
      </x:c>
    </x:row>
    <x:row r="68" ht="42" customHeight="1">
      <x:c r="A68" s="83" t="n">
        <x:v>63</x:v>
      </x:c>
      <x:c r="B68" s="83" t="str">
        <x:v>Alarm</x:v>
      </x:c>
      <x:c r="C68" s="83" t="str">
        <x:v>Interlock List 정리</x:v>
      </x:c>
      <x:c r="D68" s="83" t="str">
        <x:v>Interlock 항목 목록 정리</x:v>
      </x:c>
      <x:c r="E68" s="84" t="n">
        <x:v>0</x:v>
      </x:c>
      <x:c r="F68" s="83" t="str">
        <x:v>예정</x:v>
      </x:c>
      <x:c r="G68" s="83" t="str">
        <x:v>P1</x:v>
      </x:c>
      <x:c r="H68" s="83" t="str">
        <x:v>초기 개발 단계. 관련 사양 확정 후 우선순위에 따라 순차 개발 예정.</x:v>
      </x:c>
      <x:c r="I68" s="83" t="str">
        <x:v>AM-007, SS-008</x:v>
      </x:c>
      <x:c r="J68" s="83" t="str">
        <x:v>부분 구현 확인</x:v>
      </x:c>
      <x:c r="K68" s="84" t="n">
        <x:v>0.55</x:v>
      </x:c>
      <x:c r="L68" s="83" t="str">
        <x:v>-55%p (보고-코드)</x:v>
      </x:c>
      <x:c r="M68" s="83" t="str">
        <x:v>EMS/Door/Leak/Smoke/PM/Chiller/Motion/BET Interlock 평가 회귀 PASS</x:v>
      </x:c>
      <x:c r="N68" s="83" t="str">
        <x:v>최종 설비 I/O List·Laser/Stage 정지 순서 현장 검증 미완</x:v>
      </x:c>
      <x:c r="O68" s="83" t="str">
        <x:v>코드완성→단위시험→통합/실장비 검증</x:v>
      </x:c>
      <x:c r="P68" s="83" t="str">
        <x:v>10-01, 02-01, 01-06, 02-04, 10-04</x:v>
      </x:c>
      <x:c r="Q68" s="83" t="str">
        <x:v>E-INTERLOCK</x:v>
      </x:c>
      <x:c r="R68" s="83" t="str">
        <x:f>IF(COUNTIF($A$6:$A$125,A68)=1,"정상","중복")</x:f>
        <x:v>정상</x:v>
      </x:c>
      <x:c r="S68" s="83" t="str">
        <x:f>IF(AND(A68&gt;=1,A68&lt;=120),"정상","범위 오류")</x:f>
        <x:v>정상</x:v>
      </x:c>
    </x:row>
    <x:row r="69" ht="42" customHeight="1">
      <x:c r="A69" s="83" t="n">
        <x:v>64</x:v>
      </x:c>
      <x:c r="B69" s="83" t="str">
        <x:v>Alarm</x:v>
      </x:c>
      <x:c r="C69" s="83" t="str">
        <x:v>Interlock 발생 처리 기능 구현</x:v>
      </x:c>
      <x:c r="D69" s="83" t="str">
        <x:v>Interlock 발생 처리 기능 구현</x:v>
      </x:c>
      <x:c r="E69" s="84" t="n">
        <x:v>0.75</x:v>
      </x:c>
      <x:c r="F69" s="83" t="str">
        <x:v>진행 중</x:v>
      </x:c>
      <x:c r="G69" s="83" t="str">
        <x:v>P2</x:v>
      </x:c>
      <x:c r="H69" s="83" t="str">
        <x:v>주요 기능 구현 완료. 장비 연동 및 통합 시험을 통해 안정화 예정.</x:v>
      </x:c>
      <x:c r="I69" s="83" t="str">
        <x:v>AM-007</x:v>
      </x:c>
      <x:c r="J69" s="83" t="str">
        <x:v>부분 구현 확인</x:v>
      </x:c>
      <x:c r="K69" s="84" t="n">
        <x:v>0.84</x:v>
      </x:c>
      <x:c r="L69" s="83" t="str">
        <x:v>-9%p (보고-코드)</x:v>
      </x:c>
      <x:c r="M69" s="83" t="str">
        <x:v>EMS/Door/Leak/Smoke/PM/Chiller/Motion/BET Interlock 평가 회귀 PASS</x:v>
      </x:c>
      <x:c r="N69" s="83" t="str">
        <x:v>최종 설비 I/O List·Laser/Stage 정지 순서 현장 검증 미완</x:v>
      </x:c>
      <x:c r="O69" s="83" t="str">
        <x:v>코드완성→단위시험→통합/실장비 검증</x:v>
      </x:c>
      <x:c r="P69" s="83" t="str">
        <x:v>10-01, 02-01</x:v>
      </x:c>
      <x:c r="Q69" s="83" t="str">
        <x:v>E-INTERLOCK</x:v>
      </x:c>
      <x:c r="R69" s="83" t="str">
        <x:f>IF(COUNTIF($A$6:$A$125,A69)=1,"정상","중복")</x:f>
        <x:v>정상</x:v>
      </x:c>
      <x:c r="S69" s="83" t="str">
        <x:f>IF(AND(A69&gt;=1,A69&lt;=120),"정상","범위 오류")</x:f>
        <x:v>정상</x:v>
      </x:c>
    </x:row>
    <x:row r="70" ht="42" customHeight="1">
      <x:c r="A70" s="83" t="n">
        <x:v>65</x:v>
      </x:c>
      <x:c r="B70" s="83" t="str">
        <x:v>Alarm</x:v>
      </x:c>
      <x:c r="C70" s="83" t="str">
        <x:v>Interlock 상태 확인 기능 구현</x:v>
      </x:c>
      <x:c r="D70" s="83" t="str">
        <x:v>Interlock 상태를 주기적으로 확인하는 기능 구현</x:v>
      </x:c>
      <x:c r="E70" s="84" t="n">
        <x:v>0.75</x:v>
      </x:c>
      <x:c r="F70" s="83" t="str">
        <x:v>진행 중</x:v>
      </x:c>
      <x:c r="G70" s="83" t="str">
        <x:v>P2</x:v>
      </x:c>
      <x:c r="H70" s="83" t="str">
        <x:v>주요 기능 구현 완료. 장비 연동 및 통합 시험을 통해 안정화 예정.</x:v>
      </x:c>
      <x:c r="I70" s="83" t="str">
        <x:v>AM-007</x:v>
      </x:c>
      <x:c r="J70" s="83" t="str">
        <x:v>부분 구현 확인</x:v>
      </x:c>
      <x:c r="K70" s="84" t="n">
        <x:v>0.84</x:v>
      </x:c>
      <x:c r="L70" s="83" t="str">
        <x:v>-9%p (보고-코드)</x:v>
      </x:c>
      <x:c r="M70" s="83" t="str">
        <x:v>EMS/Door/Leak/Smoke/PM/Chiller/Motion/BET Interlock 평가 회귀 PASS</x:v>
      </x:c>
      <x:c r="N70" s="83" t="str">
        <x:v>최종 설비 I/O List·Laser/Stage 정지 순서 현장 검증 미완</x:v>
      </x:c>
      <x:c r="O70" s="83" t="str">
        <x:v>코드완성→단위시험→통합/실장비 검증</x:v>
      </x:c>
      <x:c r="P70" s="83" t="str">
        <x:v>10-01, 02-01</x:v>
      </x:c>
      <x:c r="Q70" s="83" t="str">
        <x:v>E-INTERLOCK</x:v>
      </x:c>
      <x:c r="R70" s="83" t="str">
        <x:f>IF(COUNTIF($A$6:$A$125,A70)=1,"정상","중복")</x:f>
        <x:v>정상</x:v>
      </x:c>
      <x:c r="S70" s="83" t="str">
        <x:f>IF(AND(A70&gt;=1,A70&lt;=120),"정상","범위 오류")</x:f>
        <x:v>정상</x:v>
      </x:c>
    </x:row>
    <x:row r="71" ht="42" customHeight="1">
      <x:c r="A71" s="83" t="n">
        <x:v>66</x:v>
      </x:c>
      <x:c r="B71" s="83" t="str">
        <x:v>Alarm</x:v>
      </x:c>
      <x:c r="C71" s="83" t="str">
        <x:v>Alarm Code Map 정리</x:v>
      </x:c>
      <x:c r="D71" s="83" t="str">
        <x:v>Alarm List 정리 및 Alarm Code 부여</x:v>
      </x:c>
      <x:c r="E71" s="84" t="n">
        <x:v>0.4</x:v>
      </x:c>
      <x:c r="F71" s="83" t="str">
        <x:v>진행 중</x:v>
      </x:c>
      <x:c r="G71" s="83" t="str">
        <x:v>P2</x:v>
      </x:c>
      <x:c r="H71" s="83" t="str">
        <x:v>핵심 구조 개발 중. 장비 연동 및 기능 안정화가 필요.</x:v>
      </x:c>
      <x:c r="I71" s="83" t="str">
        <x:v>AM-002</x:v>
      </x:c>
      <x:c r="J71" s="83" t="str">
        <x:v>부분 구현 확인</x:v>
      </x:c>
      <x:c r="K71" s="84" t="n">
        <x:v>0.68</x:v>
      </x:c>
      <x:c r="L71" s="83" t="str">
        <x:v>-28%p (보고-코드)</x:v>
      </x:c>
      <x:c r="M71" s="83" t="str">
        <x:v>Alarm Rule 평가·중복 발생 안정성·Recovery Action 모델 회귀 확인</x:v>
      </x:c>
      <x:c r="N71" s="83" t="str">
        <x:v>고객 Alarm Code Map/Reset Handshake/History 보존정책 미확정</x:v>
      </x:c>
      <x:c r="O71" s="83" t="str">
        <x:v>코드완성→단위시험→통합/실장비 검증</x:v>
      </x:c>
      <x:c r="P71" s="83" t="str">
        <x:v>02-05, 10-01</x:v>
      </x:c>
      <x:c r="Q71" s="83" t="str">
        <x:v>E-ALARM</x:v>
      </x:c>
      <x:c r="R71" s="83" t="str">
        <x:f>IF(COUNTIF($A$6:$A$125,A71)=1,"정상","중복")</x:f>
        <x:v>정상</x:v>
      </x:c>
      <x:c r="S71" s="83" t="str">
        <x:f>IF(AND(A71&gt;=1,A71&lt;=120),"정상","범위 오류")</x:f>
        <x:v>정상</x:v>
      </x:c>
    </x:row>
    <x:row r="72" ht="42" customHeight="1">
      <x:c r="A72" s="83" t="n">
        <x:v>67</x:v>
      </x:c>
      <x:c r="B72" s="83" t="str">
        <x:v>Alarm</x:v>
      </x:c>
      <x:c r="C72" s="83" t="str">
        <x:v>Alarm 발생/해제/Reset 기능 구현</x:v>
      </x:c>
      <x:c r="D72" s="83" t="str">
        <x:v>Alarm 발생, 해제, Reset 기능 구현</x:v>
      </x:c>
      <x:c r="E72" s="84" t="n">
        <x:v>0.45</x:v>
      </x:c>
      <x:c r="F72" s="83" t="str">
        <x:v>진행 중</x:v>
      </x:c>
      <x:c r="G72" s="83" t="str">
        <x:v>P2</x:v>
      </x:c>
      <x:c r="H72" s="83" t="str">
        <x:v>핵심 구조 개발 중. 장비 연동 및 기능 안정화가 필요.</x:v>
      </x:c>
      <x:c r="I72" s="83" t="str">
        <x:v>AM-002, AM-015</x:v>
      </x:c>
      <x:c r="J72" s="83" t="str">
        <x:v>부분 구현 확인</x:v>
      </x:c>
      <x:c r="K72" s="84" t="n">
        <x:v>0.65</x:v>
      </x:c>
      <x:c r="L72" s="83" t="str">
        <x:v>-20%p (보고-코드)</x:v>
      </x:c>
      <x:c r="M72" s="83" t="str">
        <x:v>Alarm Rule 평가·중복 발생 안정성·Recovery Action 모델 회귀 확인</x:v>
      </x:c>
      <x:c r="N72" s="83" t="str">
        <x:v>고객 Alarm Code Map/Reset Handshake/History 보존정책 미확정</x:v>
      </x:c>
      <x:c r="O72" s="83" t="str">
        <x:v>코드완성→단위시험→통합/실장비 검증</x:v>
      </x:c>
      <x:c r="P72" s="83" t="str">
        <x:v>02-05, 10-01, 03-07, 10-02</x:v>
      </x:c>
      <x:c r="Q72" s="83" t="str">
        <x:v>E-ALARM</x:v>
      </x:c>
      <x:c r="R72" s="83" t="str">
        <x:f>IF(COUNTIF($A$6:$A$125,A72)=1,"정상","중복")</x:f>
        <x:v>정상</x:v>
      </x:c>
      <x:c r="S72" s="83" t="str">
        <x:f>IF(AND(A72&gt;=1,A72&lt;=120),"정상","범위 오류")</x:f>
        <x:v>정상</x:v>
      </x:c>
    </x:row>
    <x:row r="73" ht="42" customHeight="1">
      <x:c r="A73" s="83" t="n">
        <x:v>68</x:v>
      </x:c>
      <x:c r="B73" s="83" t="str">
        <x:v>Alarm</x:v>
      </x:c>
      <x:c r="C73" s="83" t="str">
        <x:v>Alarm Trend/History 구현</x:v>
      </x:c>
      <x:c r="D73" s="83" t="str">
        <x:v>Current Alarm 및 Alarm History 기능 구현</x:v>
      </x:c>
      <x:c r="E73" s="84" t="n">
        <x:v>0.6</x:v>
      </x:c>
      <x:c r="F73" s="83" t="str">
        <x:v>진행 중</x:v>
      </x:c>
      <x:c r="G73" s="83" t="str">
        <x:v>P2</x:v>
      </x:c>
      <x:c r="H73" s="83" t="str">
        <x:v>기본 기능 구현 중. 연계 시나리오와 예외 처리 보완 예정.</x:v>
      </x:c>
      <x:c r="I73" s="83" t="str">
        <x:v>AM-002, IC-010</x:v>
      </x:c>
      <x:c r="J73" s="83" t="str">
        <x:v>부분 구현 확인</x:v>
      </x:c>
      <x:c r="K73" s="84" t="n">
        <x:v>0.58</x:v>
      </x:c>
      <x:c r="L73" s="83" t="str">
        <x:v>+2%p (보고-코드)</x:v>
      </x:c>
      <x:c r="M73" s="83" t="str">
        <x:v>Alarm Rule 평가·중복 발생 안정성·Recovery Action 모델 회귀 확인</x:v>
      </x:c>
      <x:c r="N73" s="83" t="str">
        <x:v>고객 Alarm Code Map/Reset Handshake/History 보존정책 미확정</x:v>
      </x:c>
      <x:c r="O73" s="83" t="str">
        <x:v>코드완성→단위시험→통합/실장비 검증</x:v>
      </x:c>
      <x:c r="P73" s="83" t="str">
        <x:v>02-05, 10-01, 07-06</x:v>
      </x:c>
      <x:c r="Q73" s="83" t="str">
        <x:v>E-ALARM</x:v>
      </x:c>
      <x:c r="R73" s="83" t="str">
        <x:f>IF(COUNTIF($A$6:$A$125,A73)=1,"정상","중복")</x:f>
        <x:v>정상</x:v>
      </x:c>
      <x:c r="S73" s="83" t="str">
        <x:f>IF(AND(A73&gt;=1,A73&lt;=120),"정상","범위 오류")</x:f>
        <x:v>정상</x:v>
      </x:c>
    </x:row>
    <x:row r="74" ht="42" customHeight="1">
      <x:c r="A74" s="83" t="n">
        <x:v>69</x:v>
      </x:c>
      <x:c r="B74" s="83" t="str">
        <x:v>Log</x:v>
      </x:c>
      <x:c r="C74" s="83" t="str">
        <x:v>Log 관리 기능 구현</x:v>
      </x:c>
      <x:c r="D74" s="83" t="str">
        <x:v>Log 작성·저장 등의 관리 기능 구현</x:v>
      </x:c>
      <x:c r="E74" s="84" t="n">
        <x:v>0.85</x:v>
      </x:c>
      <x:c r="F74" s="83" t="str">
        <x:v>진행 중</x:v>
      </x:c>
      <x:c r="G74" s="83" t="str">
        <x:v>P3</x:v>
      </x:c>
      <x:c r="H74" s="83" t="str">
        <x:v>주요 기능 구현 완료. 장비 연동 및 통합 시험을 통해 안정화 예정.</x:v>
      </x:c>
      <x:c r="I74" s="83" t="str"/>
      <x:c r="J74" s="83" t="str">
        <x:v>구현·빌드·회귀시험 확인</x:v>
      </x:c>
      <x:c r="K74" s="84" t="n">
        <x:v>0.85</x:v>
      </x:c>
      <x:c r="L74" s="83" t="str">
        <x:v>0%p (보고-코드)</x:v>
      </x:c>
      <x:c r="M74" s="83" t="str">
        <x:v>Recipe/Setting/Interface/Product/Station 로그 저장·읽기와 인용부호 회귀 PASS</x:v>
      </x:c>
      <x:c r="N74" s="83" t="str">
        <x:v>보존기간·용량 Rotation·Server PC 백업 정책 미확정</x:v>
      </x:c>
      <x:c r="O74" s="83" t="str">
        <x:v>회귀 PASS 유지 + 실장비/통합 검증</x:v>
      </x:c>
      <x:c r="P74" s="83" t="str">
        <x:v>11-08</x:v>
      </x:c>
      <x:c r="Q74" s="83" t="str">
        <x:v>E-LOG</x:v>
      </x:c>
      <x:c r="R74" s="83" t="str">
        <x:f>IF(COUNTIF($A$6:$A$125,A74)=1,"정상","중복")</x:f>
        <x:v>정상</x:v>
      </x:c>
      <x:c r="S74" s="83" t="str">
        <x:f>IF(AND(A74&gt;=1,A74&lt;=120),"정상","범위 오류")</x:f>
        <x:v>정상</x:v>
      </x:c>
    </x:row>
    <x:row r="75" ht="42" customHeight="1">
      <x:c r="A75" s="83" t="n">
        <x:v>70</x:v>
      </x:c>
      <x:c r="B75" s="83" t="str">
        <x:v>Log</x:v>
      </x:c>
      <x:c r="C75" s="83" t="str">
        <x:v>Product History Log 구현</x:v>
      </x:c>
      <x:c r="D75" s="83" t="str">
        <x:v>Product 관련 Log 구현</x:v>
      </x:c>
      <x:c r="E75" s="84" t="n">
        <x:v>0.8</x:v>
      </x:c>
      <x:c r="F75" s="83" t="str">
        <x:v>진행 중</x:v>
      </x:c>
      <x:c r="G75" s="83" t="str">
        <x:v>P3</x:v>
      </x:c>
      <x:c r="H75" s="83" t="str">
        <x:v>주요 기능 구현 완료. 장비 연동 및 통합 시험을 통해 안정화 예정.</x:v>
      </x:c>
      <x:c r="I75" s="83" t="str">
        <x:v>IC-010</x:v>
      </x:c>
      <x:c r="J75" s="83" t="str">
        <x:v>구현·빌드·회귀시험 확인</x:v>
      </x:c>
      <x:c r="K75" s="84" t="n">
        <x:v>0.85</x:v>
      </x:c>
      <x:c r="L75" s="83" t="str">
        <x:v>-5%p (보고-코드)</x:v>
      </x:c>
      <x:c r="M75" s="83" t="str">
        <x:v>Recipe/Setting/Interface/Product/Station 로그 저장·읽기와 인용부호 회귀 PASS</x:v>
      </x:c>
      <x:c r="N75" s="83" t="str">
        <x:v>보존기간·용량 Rotation·Server PC 백업 정책 미확정</x:v>
      </x:c>
      <x:c r="O75" s="83" t="str">
        <x:v>회귀 PASS 유지 + 실장비/통합 검증</x:v>
      </x:c>
      <x:c r="P75" s="83" t="str">
        <x:v>07-06</x:v>
      </x:c>
      <x:c r="Q75" s="83" t="str">
        <x:v>E-LOG</x:v>
      </x:c>
      <x:c r="R75" s="83" t="str">
        <x:f>IF(COUNTIF($A$6:$A$125,A75)=1,"정상","중복")</x:f>
        <x:v>정상</x:v>
      </x:c>
      <x:c r="S75" s="83" t="str">
        <x:f>IF(AND(A75&gt;=1,A75&lt;=120),"정상","범위 오류")</x:f>
        <x:v>정상</x:v>
      </x:c>
    </x:row>
    <x:row r="76" ht="42" customHeight="1">
      <x:c r="A76" s="83" t="n">
        <x:v>71</x:v>
      </x:c>
      <x:c r="B76" s="83" t="str">
        <x:v>Log</x:v>
      </x:c>
      <x:c r="C76" s="83" t="str">
        <x:v>I/F Log 구현</x:v>
      </x:c>
      <x:c r="D76" s="83" t="str">
        <x:v>통신 Log 구현</x:v>
      </x:c>
      <x:c r="E76" s="84" t="n">
        <x:v>0.8</x:v>
      </x:c>
      <x:c r="F76" s="83" t="str">
        <x:v>진행 중</x:v>
      </x:c>
      <x:c r="G76" s="83" t="str">
        <x:v>P3</x:v>
      </x:c>
      <x:c r="H76" s="83" t="str">
        <x:v>주요 기능 구현 완료. 장비 연동 및 통합 시험을 통해 안정화 예정.</x:v>
      </x:c>
      <x:c r="I76" s="83" t="str"/>
      <x:c r="J76" s="83" t="str">
        <x:v>구현·빌드·회귀시험 확인</x:v>
      </x:c>
      <x:c r="K76" s="84" t="n">
        <x:v>0.85</x:v>
      </x:c>
      <x:c r="L76" s="83" t="str">
        <x:v>-5%p (보고-코드)</x:v>
      </x:c>
      <x:c r="M76" s="83" t="str">
        <x:v>Recipe/Setting/Interface/Product/Station 로그 저장·읽기와 인용부호 회귀 PASS</x:v>
      </x:c>
      <x:c r="N76" s="83" t="str">
        <x:v>보존기간·용량 Rotation·Server PC 백업 정책 미확정</x:v>
      </x:c>
      <x:c r="O76" s="83" t="str">
        <x:v>회귀 PASS 유지 + 실장비/통합 검증</x:v>
      </x:c>
      <x:c r="P76" s="83" t="str">
        <x:v>11-08</x:v>
      </x:c>
      <x:c r="Q76" s="83" t="str">
        <x:v>E-LOG</x:v>
      </x:c>
      <x:c r="R76" s="83" t="str">
        <x:f>IF(COUNTIF($A$6:$A$125,A76)=1,"정상","중복")</x:f>
        <x:v>정상</x:v>
      </x:c>
      <x:c r="S76" s="83" t="str">
        <x:f>IF(AND(A76&gt;=1,A76&lt;=120),"정상","범위 오류")</x:f>
        <x:v>정상</x:v>
      </x:c>
    </x:row>
    <x:row r="77" ht="42" customHeight="1">
      <x:c r="A77" s="83" t="n">
        <x:v>72</x:v>
      </x:c>
      <x:c r="B77" s="83" t="str">
        <x:v>Log</x:v>
      </x:c>
      <x:c r="C77" s="83" t="str">
        <x:v>Sequence Log 구현</x:v>
      </x:c>
      <x:c r="D77" s="83" t="str">
        <x:v>Sequence Log 구현</x:v>
      </x:c>
      <x:c r="E77" s="84" t="n">
        <x:v>0.75</x:v>
      </x:c>
      <x:c r="F77" s="83" t="str">
        <x:v>진행 중</x:v>
      </x:c>
      <x:c r="G77" s="83" t="str">
        <x:v>P3</x:v>
      </x:c>
      <x:c r="H77" s="83" t="str">
        <x:v>주요 기능 구현 완료. 장비 연동 및 통합 시험을 통해 안정화 예정.</x:v>
      </x:c>
      <x:c r="I77" s="83" t="str"/>
      <x:c r="J77" s="83" t="str">
        <x:v>구현·빌드·회귀시험 확인</x:v>
      </x:c>
      <x:c r="K77" s="84" t="n">
        <x:v>0.85</x:v>
      </x:c>
      <x:c r="L77" s="83" t="str">
        <x:v>-10%p (보고-코드)</x:v>
      </x:c>
      <x:c r="M77" s="83" t="str">
        <x:v>Recipe/Setting/Interface/Product/Station 로그 저장·읽기와 인용부호 회귀 PASS</x:v>
      </x:c>
      <x:c r="N77" s="83" t="str">
        <x:v>보존기간·용량 Rotation·Server PC 백업 정책 미확정</x:v>
      </x:c>
      <x:c r="O77" s="83" t="str">
        <x:v>회귀 PASS 유지 + 실장비/통합 검증</x:v>
      </x:c>
      <x:c r="P77" s="83" t="str">
        <x:v>11-08</x:v>
      </x:c>
      <x:c r="Q77" s="83" t="str">
        <x:v>E-LOG</x:v>
      </x:c>
      <x:c r="R77" s="83" t="str">
        <x:f>IF(COUNTIF($A$6:$A$125,A77)=1,"정상","중복")</x:f>
        <x:v>정상</x:v>
      </x:c>
      <x:c r="S77" s="83" t="str">
        <x:f>IF(AND(A77&gt;=1,A77&lt;=120),"정상","범위 오류")</x:f>
        <x:v>정상</x:v>
      </x:c>
    </x:row>
    <x:row r="78" ht="42" customHeight="1">
      <x:c r="A78" s="83" t="n">
        <x:v>73</x:v>
      </x:c>
      <x:c r="B78" s="83" t="str">
        <x:v>Log</x:v>
      </x:c>
      <x:c r="C78" s="83" t="str">
        <x:v>Recipe Change Log 구현</x:v>
      </x:c>
      <x:c r="D78" s="83" t="str">
        <x:v>Recipe 항목 변경 이력 Log 구현</x:v>
      </x:c>
      <x:c r="E78" s="84" t="n">
        <x:v>0.85</x:v>
      </x:c>
      <x:c r="F78" s="83" t="str">
        <x:v>진행 중</x:v>
      </x:c>
      <x:c r="G78" s="83" t="str">
        <x:v>P3</x:v>
      </x:c>
      <x:c r="H78" s="83" t="str">
        <x:v>주요 기능 구현 완료. 장비 연동 및 통합 시험을 통해 안정화 예정.</x:v>
      </x:c>
      <x:c r="I78" s="83" t="str"/>
      <x:c r="J78" s="83" t="str">
        <x:v>구현·빌드·회귀시험 확인</x:v>
      </x:c>
      <x:c r="K78" s="84" t="n">
        <x:v>0.85</x:v>
      </x:c>
      <x:c r="L78" s="83" t="str">
        <x:v>0%p (보고-코드)</x:v>
      </x:c>
      <x:c r="M78" s="83" t="str">
        <x:v>Recipe/Setting/Interface/Product/Station 로그 저장·읽기와 인용부호 회귀 PASS</x:v>
      </x:c>
      <x:c r="N78" s="83" t="str">
        <x:v>보존기간·용량 Rotation·Server PC 백업 정책 미확정</x:v>
      </x:c>
      <x:c r="O78" s="83" t="str">
        <x:v>회귀 PASS 유지 + 실장비/통합 검증</x:v>
      </x:c>
      <x:c r="P78" s="83" t="str">
        <x:v>11-08</x:v>
      </x:c>
      <x:c r="Q78" s="83" t="str">
        <x:v>E-LOG</x:v>
      </x:c>
      <x:c r="R78" s="83" t="str">
        <x:f>IF(COUNTIF($A$6:$A$125,A78)=1,"정상","중복")</x:f>
        <x:v>정상</x:v>
      </x:c>
      <x:c r="S78" s="83" t="str">
        <x:f>IF(AND(A78&gt;=1,A78&lt;=120),"정상","범위 오류")</x:f>
        <x:v>정상</x:v>
      </x:c>
    </x:row>
    <x:row r="79" ht="42" customHeight="1">
      <x:c r="A79" s="83" t="n">
        <x:v>74</x:v>
      </x:c>
      <x:c r="B79" s="83" t="str">
        <x:v>Log</x:v>
      </x:c>
      <x:c r="C79" s="83" t="str">
        <x:v>Config Change Log 구현</x:v>
      </x:c>
      <x:c r="D79" s="83" t="str">
        <x:v>Config 항목 변경 이력 Log 구현</x:v>
      </x:c>
      <x:c r="E79" s="84" t="n">
        <x:v>0.85</x:v>
      </x:c>
      <x:c r="F79" s="83" t="str">
        <x:v>진행 중</x:v>
      </x:c>
      <x:c r="G79" s="83" t="str">
        <x:v>P3</x:v>
      </x:c>
      <x:c r="H79" s="83" t="str">
        <x:v>주요 기능 구현 완료. 장비 연동 및 통합 시험을 통해 안정화 예정.</x:v>
      </x:c>
      <x:c r="I79" s="83" t="str"/>
      <x:c r="J79" s="83" t="str">
        <x:v>구현·빌드·회귀시험 확인</x:v>
      </x:c>
      <x:c r="K79" s="84" t="n">
        <x:v>0.85</x:v>
      </x:c>
      <x:c r="L79" s="83" t="str">
        <x:v>0%p (보고-코드)</x:v>
      </x:c>
      <x:c r="M79" s="83" t="str">
        <x:v>Recipe/Setting/Interface/Product/Station 로그 저장·읽기와 인용부호 회귀 PASS</x:v>
      </x:c>
      <x:c r="N79" s="83" t="str">
        <x:v>보존기간·용량 Rotation·Server PC 백업 정책 미확정</x:v>
      </x:c>
      <x:c r="O79" s="83" t="str">
        <x:v>회귀 PASS 유지 + 실장비/통합 검증</x:v>
      </x:c>
      <x:c r="P79" s="83" t="str">
        <x:v>11-08</x:v>
      </x:c>
      <x:c r="Q79" s="83" t="str">
        <x:v>E-LOG</x:v>
      </x:c>
      <x:c r="R79" s="83" t="str">
        <x:f>IF(COUNTIF($A$6:$A$125,A79)=1,"정상","중복")</x:f>
        <x:v>정상</x:v>
      </x:c>
      <x:c r="S79" s="83" t="str">
        <x:f>IF(AND(A79&gt;=1,A79&lt;=120),"정상","범위 오류")</x:f>
        <x:v>정상</x:v>
      </x:c>
    </x:row>
    <x:row r="80" ht="42" customHeight="1">
      <x:c r="A80" s="83" t="n">
        <x:v>75</x:v>
      </x:c>
      <x:c r="B80" s="83" t="str">
        <x:v>Log</x:v>
      </x:c>
      <x:c r="C80" s="83" t="str">
        <x:v>UI Log 구현</x:v>
      </x:c>
      <x:c r="D80" s="83" t="str">
        <x:v>버튼 클릭, 메뉴 이동 등의 Log 구현</x:v>
      </x:c>
      <x:c r="E80" s="84" t="n">
        <x:v>0.25</x:v>
      </x:c>
      <x:c r="F80" s="83" t="str">
        <x:v>예정</x:v>
      </x:c>
      <x:c r="G80" s="83" t="str">
        <x:v>P1</x:v>
      </x:c>
      <x:c r="H80" s="83" t="str">
        <x:v>초기 개발 단계. 관련 사양 확정 후 우선순위에 따라 순차 개발 예정.</x:v>
      </x:c>
      <x:c r="I80" s="83" t="str"/>
      <x:c r="J80" s="83" t="str">
        <x:v>UI/설정/기초 로직만 확인</x:v>
      </x:c>
      <x:c r="K80" s="84" t="n">
        <x:v>0.3</x:v>
      </x:c>
      <x:c r="L80" s="83" t="str">
        <x:v>-5%p (보고-코드)</x:v>
      </x:c>
      <x:c r="M80" s="83" t="str">
        <x:v>WPF Shell·메뉴 전환·상단 상태 바인딩 확인</x:v>
      </x:c>
      <x:c r="N80" s="83" t="str">
        <x:v>실장비 상태 갱신 주기와 장시간 UI 안정성 미검증</x:v>
      </x:c>
      <x:c r="O80" s="83" t="str">
        <x:v>코드완성→단위시험→통합/실장비 검증</x:v>
      </x:c>
      <x:c r="P80" s="83" t="str">
        <x:v>11-08</x:v>
      </x:c>
      <x:c r="Q80" s="83" t="str">
        <x:v>E-UI-ROOT</x:v>
      </x:c>
      <x:c r="R80" s="83" t="str">
        <x:f>IF(COUNTIF($A$6:$A$125,A80)=1,"정상","중복")</x:f>
        <x:v>정상</x:v>
      </x:c>
      <x:c r="S80" s="83" t="str">
        <x:f>IF(AND(A80&gt;=1,A80&lt;=120),"정상","범위 오류")</x:f>
        <x:v>정상</x:v>
      </x:c>
    </x:row>
    <x:row r="81" ht="42" customHeight="1">
      <x:c r="A81" s="83" t="n">
        <x:v>76</x:v>
      </x:c>
      <x:c r="B81" s="83" t="str">
        <x:v>기능</x:v>
      </x:c>
      <x:c r="C81" s="83" t="str">
        <x:v>Main 화면 내 기능 구현</x:v>
      </x:c>
      <x:c r="D81" s="83" t="str">
        <x:v>Main 화면에서 제공하는 주요 기능 구현</x:v>
      </x:c>
      <x:c r="E81" s="84" t="n">
        <x:v>0.65</x:v>
      </x:c>
      <x:c r="F81" s="83" t="str">
        <x:v>진행 중</x:v>
      </x:c>
      <x:c r="G81" s="83" t="str">
        <x:v>P2</x:v>
      </x:c>
      <x:c r="H81" s="83" t="str">
        <x:v>기본 기능 구현 중. 연계 시나리오와 예외 처리 보완 예정.</x:v>
      </x:c>
      <x:c r="I81" s="83" t="str">
        <x:v>AM-008, AM-009, AM-011</x:v>
      </x:c>
      <x:c r="J81" s="83" t="str">
        <x:v>부분 구현 확인</x:v>
      </x:c>
      <x:c r="K81" s="84" t="n">
        <x:v>0.8</x:v>
      </x:c>
      <x:c r="L81" s="83" t="str">
        <x:v>-15%p (보고-코드)</x:v>
      </x:c>
      <x:c r="M81" s="83" t="str">
        <x:v>Sequence/Interlock/Preview/Optic 상태를 ViewModel로 구성</x:v>
      </x:c>
      <x:c r="N81" s="83" t="str">
        <x:v>장비 End-to-End 및 고객 수용시험 미수행</x:v>
      </x:c>
      <x:c r="O81" s="83" t="str">
        <x:v>코드완성→단위시험→통합/실장비 검증</x:v>
      </x:c>
      <x:c r="P81" s="83" t="str">
        <x:v>02-01, 05-02, 02-04, 08-06</x:v>
      </x:c>
      <x:c r="Q81" s="83" t="str">
        <x:v>E-UI-MAIN</x:v>
      </x:c>
      <x:c r="R81" s="83" t="str">
        <x:f>IF(COUNTIF($A$6:$A$125,A81)=1,"정상","중복")</x:f>
        <x:v>정상</x:v>
      </x:c>
      <x:c r="S81" s="83" t="str">
        <x:f>IF(AND(A81&gt;=1,A81&lt;=120),"정상","범위 오류")</x:f>
        <x:v>정상</x:v>
      </x:c>
    </x:row>
    <x:row r="82" ht="42" customHeight="1">
      <x:c r="A82" s="83" t="n">
        <x:v>77</x:v>
      </x:c>
      <x:c r="B82" s="83" t="str">
        <x:v>기능</x:v>
      </x:c>
      <x:c r="C82" s="83" t="str">
        <x:v>Manual 화면 내 Scanner 관련 기능 구현</x:v>
      </x:c>
      <x:c r="D82" s="83" t="str">
        <x:v>Manual Scanner 단위 동작 및 상태 표시 기능 구현</x:v>
      </x:c>
      <x:c r="E82" s="84" t="n">
        <x:v>0.75</x:v>
      </x:c>
      <x:c r="F82" s="83" t="str">
        <x:v>진행 중</x:v>
      </x:c>
      <x:c r="G82" s="83" t="str">
        <x:v>P3</x:v>
      </x:c>
      <x:c r="H82" s="83" t="str">
        <x:v>주요 기능 구현 완료. 장비 연동 및 통합 시험을 통해 안정화 예정.</x:v>
      </x:c>
      <x:c r="I82" s="83" t="str">
        <x:v>MM-004, MM-009</x:v>
      </x:c>
      <x:c r="J82" s="83" t="str">
        <x:v>부분 구현 확인</x:v>
      </x:c>
      <x:c r="K82" s="84" t="n">
        <x:v>0.76</x:v>
      </x:c>
      <x:c r="L82" s="83" t="str">
        <x:v>-1%p (보고-코드)</x:v>
      </x:c>
      <x:c r="M82" s="83" t="str">
        <x:v>Stage/Scanner/Vision 명령과 수동 패턴 Script 생성 로직 확인</x:v>
      </x:c>
      <x:c r="N82" s="83" t="str">
        <x:v>Stage/Vision 실장비 및 IOF/PtoP/TEG 동작 미검증</x:v>
      </x:c>
      <x:c r="O82" s="83" t="str">
        <x:v>코드완성→단위시험→통합/실장비 검증</x:v>
      </x:c>
      <x:c r="P82" s="83" t="str">
        <x:v>06-02, 08-08</x:v>
      </x:c>
      <x:c r="Q82" s="83" t="str">
        <x:v>E-UI-MANUAL</x:v>
      </x:c>
      <x:c r="R82" s="83" t="str">
        <x:f>IF(COUNTIF($A$6:$A$125,A82)=1,"정상","중복")</x:f>
        <x:v>정상</x:v>
      </x:c>
      <x:c r="S82" s="83" t="str">
        <x:f>IF(AND(A82&gt;=1,A82&lt;=120),"정상","범위 오류")</x:f>
        <x:v>정상</x:v>
      </x:c>
    </x:row>
    <x:row r="83" ht="42" customHeight="1">
      <x:c r="A83" s="83" t="n">
        <x:v>78</x:v>
      </x:c>
      <x:c r="B83" s="83" t="str">
        <x:v>기능</x:v>
      </x:c>
      <x:c r="C83" s="83" t="str">
        <x:v>DOT/CROSS Pattern 가공 구현</x:v>
      </x:c>
      <x:c r="D83" s="83" t="str">
        <x:v>점, 십자 형태의 패턴 가공 구현</x:v>
      </x:c>
      <x:c r="E83" s="84" t="n">
        <x:v>0.8</x:v>
      </x:c>
      <x:c r="F83" s="83" t="str">
        <x:v>진행 중</x:v>
      </x:c>
      <x:c r="G83" s="83" t="str">
        <x:v>P3</x:v>
      </x:c>
      <x:c r="H83" s="83" t="str">
        <x:v>주요 기능 구현 완료. 장비 연동 및 통합 시험을 통해 안정화 예정.</x:v>
      </x:c>
      <x:c r="I83" s="83" t="str">
        <x:v>MM-004, MM-005</x:v>
      </x:c>
      <x:c r="J83" s="83" t="str">
        <x:v>부분 구현 확인</x:v>
      </x:c>
      <x:c r="K83" s="84" t="n">
        <x:v>0.76</x:v>
      </x:c>
      <x:c r="L83" s="83" t="str">
        <x:v>+4%p (보고-코드)</x:v>
      </x:c>
      <x:c r="M83" s="83" t="str">
        <x:v>Stage/Scanner/Vision 명령과 수동 패턴 Script 생성 로직 확인</x:v>
      </x:c>
      <x:c r="N83" s="83" t="str">
        <x:v>Stage/Vision 실장비 및 IOF/PtoP/TEG 동작 미검증</x:v>
      </x:c>
      <x:c r="O83" s="83" t="str">
        <x:v>코드완성→단위시험→통합/실장비 검증</x:v>
      </x:c>
      <x:c r="P83" s="83" t="str">
        <x:v>06-02, 06-03</x:v>
      </x:c>
      <x:c r="Q83" s="83" t="str">
        <x:v>E-UI-MANUAL</x:v>
      </x:c>
      <x:c r="R83" s="83" t="str">
        <x:f>IF(COUNTIF($A$6:$A$125,A83)=1,"정상","중복")</x:f>
        <x:v>정상</x:v>
      </x:c>
      <x:c r="S83" s="83" t="str">
        <x:f>IF(AND(A83&gt;=1,A83&lt;=120),"정상","범위 오류")</x:f>
        <x:v>정상</x:v>
      </x:c>
    </x:row>
    <x:row r="84" ht="42" customHeight="1">
      <x:c r="A84" s="83" t="n">
        <x:v>79</x:v>
      </x:c>
      <x:c r="B84" s="83" t="str">
        <x:v>기능</x:v>
      </x:c>
      <x:c r="C84" s="83" t="str">
        <x:v>CIRCLE/RECT Pattern 가공 구현</x:v>
      </x:c>
      <x:c r="D84" s="83" t="str">
        <x:v>원 및 사각형 형태의 패턴 가공 구현</x:v>
      </x:c>
      <x:c r="E84" s="84" t="n">
        <x:v>0.8</x:v>
      </x:c>
      <x:c r="F84" s="83" t="str">
        <x:v>진행 중</x:v>
      </x:c>
      <x:c r="G84" s="83" t="str">
        <x:v>P3</x:v>
      </x:c>
      <x:c r="H84" s="83" t="str">
        <x:v>주요 기능 구현 완료. 장비 연동 및 통합 시험을 통해 안정화 예정.</x:v>
      </x:c>
      <x:c r="I84" s="83" t="str">
        <x:v>MM-004, MM-005</x:v>
      </x:c>
      <x:c r="J84" s="83" t="str">
        <x:v>부분 구현 확인</x:v>
      </x:c>
      <x:c r="K84" s="84" t="n">
        <x:v>0.76</x:v>
      </x:c>
      <x:c r="L84" s="83" t="str">
        <x:v>+4%p (보고-코드)</x:v>
      </x:c>
      <x:c r="M84" s="83" t="str">
        <x:v>Stage/Scanner/Vision 명령과 수동 패턴 Script 생성 로직 확인</x:v>
      </x:c>
      <x:c r="N84" s="83" t="str">
        <x:v>Stage/Vision 실장비 및 IOF/PtoP/TEG 동작 미검증</x:v>
      </x:c>
      <x:c r="O84" s="83" t="str">
        <x:v>코드완성→단위시험→통합/실장비 검증</x:v>
      </x:c>
      <x:c r="P84" s="83" t="str">
        <x:v>06-02, 06-03</x:v>
      </x:c>
      <x:c r="Q84" s="83" t="str">
        <x:v>E-UI-MANUAL</x:v>
      </x:c>
      <x:c r="R84" s="83" t="str">
        <x:f>IF(COUNTIF($A$6:$A$125,A84)=1,"정상","중복")</x:f>
        <x:v>정상</x:v>
      </x:c>
      <x:c r="S84" s="83" t="str">
        <x:f>IF(AND(A84&gt;=1,A84&lt;=120),"정상","범위 오류")</x:f>
        <x:v>정상</x:v>
      </x:c>
    </x:row>
    <x:row r="85" ht="42" customHeight="1">
      <x:c r="A85" s="83" t="n">
        <x:v>80</x:v>
      </x:c>
      <x:c r="B85" s="83" t="str">
        <x:v>기능</x:v>
      </x:c>
      <x:c r="C85" s="83" t="str">
        <x:v>RECT Pattern 가공 구현</x:v>
      </x:c>
      <x:c r="D85" s="83" t="str">
        <x:v>사각형 형태의 패턴 가공 구현</x:v>
      </x:c>
      <x:c r="E85" s="84" t="n">
        <x:v>0.8</x:v>
      </x:c>
      <x:c r="F85" s="83" t="str">
        <x:v>진행 중</x:v>
      </x:c>
      <x:c r="G85" s="83" t="str">
        <x:v>P3</x:v>
      </x:c>
      <x:c r="H85" s="83" t="str">
        <x:v>주요 기능 구현 완료. 장비 연동 및 통합 시험을 통해 안정화 예정.</x:v>
      </x:c>
      <x:c r="I85" s="83" t="str">
        <x:v>MM-004, MM-005</x:v>
      </x:c>
      <x:c r="J85" s="83" t="str">
        <x:v>부분 구현 확인</x:v>
      </x:c>
      <x:c r="K85" s="84" t="n">
        <x:v>0.76</x:v>
      </x:c>
      <x:c r="L85" s="83" t="str">
        <x:v>+4%p (보고-코드)</x:v>
      </x:c>
      <x:c r="M85" s="83" t="str">
        <x:v>Stage/Scanner/Vision 명령과 수동 패턴 Script 생성 로직 확인</x:v>
      </x:c>
      <x:c r="N85" s="83" t="str">
        <x:v>Stage/Vision 실장비 및 IOF/PtoP/TEG 동작 미검증</x:v>
      </x:c>
      <x:c r="O85" s="83" t="str">
        <x:v>코드완성→단위시험→통합/실장비 검증</x:v>
      </x:c>
      <x:c r="P85" s="83" t="str">
        <x:v>06-02, 06-03</x:v>
      </x:c>
      <x:c r="Q85" s="83" t="str">
        <x:v>E-UI-MANUAL</x:v>
      </x:c>
      <x:c r="R85" s="83" t="str">
        <x:f>IF(COUNTIF($A$6:$A$125,A85)=1,"정상","중복")</x:f>
        <x:v>정상</x:v>
      </x:c>
      <x:c r="S85" s="83" t="str">
        <x:f>IF(AND(A85&gt;=1,A85&lt;=120),"정상","범위 오류")</x:f>
        <x:v>정상</x:v>
      </x:c>
    </x:row>
    <x:row r="86" ht="42" customHeight="1">
      <x:c r="A86" s="83" t="n">
        <x:v>81</x:v>
      </x:c>
      <x:c r="B86" s="83" t="str">
        <x:v>기능</x:v>
      </x:c>
      <x:c r="C86" s="83" t="str">
        <x:v>LINE/H-LINE/V-LINE Pattern 가공 구현</x:v>
      </x:c>
      <x:c r="D86" s="83" t="str">
        <x:v>직선, 세로선, 가로선 형태의 패턴 가공 구현</x:v>
      </x:c>
      <x:c r="E86" s="84" t="n">
        <x:v>0.8</x:v>
      </x:c>
      <x:c r="F86" s="83" t="str">
        <x:v>진행 중</x:v>
      </x:c>
      <x:c r="G86" s="83" t="str">
        <x:v>P3</x:v>
      </x:c>
      <x:c r="H86" s="83" t="str">
        <x:v>주요 기능 구현 완료. 장비 연동 및 통합 시험을 통해 안정화 예정.</x:v>
      </x:c>
      <x:c r="I86" s="83" t="str">
        <x:v>MM-004, MM-005</x:v>
      </x:c>
      <x:c r="J86" s="83" t="str">
        <x:v>부분 구현 확인</x:v>
      </x:c>
      <x:c r="K86" s="84" t="n">
        <x:v>0.76</x:v>
      </x:c>
      <x:c r="L86" s="83" t="str">
        <x:v>+4%p (보고-코드)</x:v>
      </x:c>
      <x:c r="M86" s="83" t="str">
        <x:v>Stage/Scanner/Vision 명령과 수동 패턴 Script 생성 로직 확인</x:v>
      </x:c>
      <x:c r="N86" s="83" t="str">
        <x:v>Stage/Vision 실장비 및 IOF/PtoP/TEG 동작 미검증</x:v>
      </x:c>
      <x:c r="O86" s="83" t="str">
        <x:v>코드완성→단위시험→통합/실장비 검증</x:v>
      </x:c>
      <x:c r="P86" s="83" t="str">
        <x:v>06-02, 06-03</x:v>
      </x:c>
      <x:c r="Q86" s="83" t="str">
        <x:v>E-UI-MANUAL</x:v>
      </x:c>
      <x:c r="R86" s="83" t="str">
        <x:f>IF(COUNTIF($A$6:$A$125,A86)=1,"정상","중복")</x:f>
        <x:v>정상</x:v>
      </x:c>
      <x:c r="S86" s="83" t="str">
        <x:f>IF(AND(A86&gt;=1,A86&lt;=120),"정상","범위 오류")</x:f>
        <x:v>정상</x:v>
      </x:c>
    </x:row>
    <x:row r="87" ht="42" customHeight="1">
      <x:c r="A87" s="83" t="n">
        <x:v>82</x:v>
      </x:c>
      <x:c r="B87" s="83" t="str">
        <x:v>기능</x:v>
      </x:c>
      <x:c r="C87" s="83" t="str">
        <x:v>GRID Pattern 가공 구현</x:v>
      </x:c>
      <x:c r="D87" s="83" t="str">
        <x:v>격자 형태의 패턴 가공 구현</x:v>
      </x:c>
      <x:c r="E87" s="84" t="n">
        <x:v>0.2</x:v>
      </x:c>
      <x:c r="F87" s="83" t="str">
        <x:v>예정</x:v>
      </x:c>
      <x:c r="G87" s="83" t="str">
        <x:v>P1</x:v>
      </x:c>
      <x:c r="H87" s="83" t="str">
        <x:v>초기 개발 단계. 관련 사양 확정 후 우선순위에 따라 순차 개발 예정.</x:v>
      </x:c>
      <x:c r="I87" s="83" t="str">
        <x:v>MM-004, MM-005</x:v>
      </x:c>
      <x:c r="J87" s="83" t="str">
        <x:v>부분 구현 확인</x:v>
      </x:c>
      <x:c r="K87" s="84" t="n">
        <x:v>0.78</x:v>
      </x:c>
      <x:c r="L87" s="83" t="str">
        <x:v>-58%p (보고-코드)</x:v>
      </x:c>
      <x:c r="M87" s="83" t="str">
        <x:v>Stage/Scanner/Vision 명령과 수동 패턴 Script 생성 로직 확인</x:v>
      </x:c>
      <x:c r="N87" s="83" t="str">
        <x:v>Stage/Vision 실장비 및 IOF/PtoP/TEG 동작 미검증</x:v>
      </x:c>
      <x:c r="O87" s="83" t="str">
        <x:v>코드완성→단위시험→통합/실장비 검증</x:v>
      </x:c>
      <x:c r="P87" s="83" t="str">
        <x:v>06-02, 06-03</x:v>
      </x:c>
      <x:c r="Q87" s="83" t="str">
        <x:v>E-UI-MANUAL</x:v>
      </x:c>
      <x:c r="R87" s="83" t="str">
        <x:f>IF(COUNTIF($A$6:$A$125,A87)=1,"정상","중복")</x:f>
        <x:v>정상</x:v>
      </x:c>
      <x:c r="S87" s="83" t="str">
        <x:f>IF(AND(A87&gt;=1,A87&lt;=120),"정상","범위 오류")</x:f>
        <x:v>정상</x:v>
      </x:c>
    </x:row>
    <x:row r="88" ht="42" customHeight="1">
      <x:c r="A88" s="83" t="n">
        <x:v>83</x:v>
      </x:c>
      <x:c r="B88" s="83" t="str">
        <x:v>기능</x:v>
      </x:c>
      <x:c r="C88" s="83" t="str">
        <x:v>Manual 화면 내 Stage 관련 기능 구현</x:v>
      </x:c>
      <x:c r="D88" s="83" t="str">
        <x:v>Manual Stage 단위 동작 및 상태 표시 기능 구현</x:v>
      </x:c>
      <x:c r="E88" s="84" t="n">
        <x:v>0.1</x:v>
      </x:c>
      <x:c r="F88" s="83" t="str">
        <x:v>예정</x:v>
      </x:c>
      <x:c r="G88" s="83" t="str">
        <x:v>P1</x:v>
      </x:c>
      <x:c r="H88" s="83" t="str">
        <x:v>초기 개발 단계. 관련 사양 확정 후 우선순위에 따라 순차 개발 예정.</x:v>
      </x:c>
      <x:c r="I88" s="83" t="str">
        <x:v>MM-001, MM-002, MM-007, MM-008, IC-011</x:v>
      </x:c>
      <x:c r="J88" s="83" t="str">
        <x:v>부분 구현 확인</x:v>
      </x:c>
      <x:c r="K88" s="84" t="n">
        <x:v>0.55</x:v>
      </x:c>
      <x:c r="L88" s="83" t="str">
        <x:v>-45%p (보고-코드)</x:v>
      </x:c>
      <x:c r="M88" s="83" t="str">
        <x:v>Stage/Scanner/Vision 명령과 수동 패턴 Script 생성 로직 확인</x:v>
      </x:c>
      <x:c r="N88" s="83" t="str">
        <x:v>Stage/Vision 실장비 및 IOF/PtoP/TEG 동작 미검증</x:v>
      </x:c>
      <x:c r="O88" s="83" t="str">
        <x:v>코드완성→단위시험→통합/실장비 검증</x:v>
      </x:c>
      <x:c r="P88" s="83" t="str">
        <x:v>06-01, 06-04</x:v>
      </x:c>
      <x:c r="Q88" s="83" t="str">
        <x:v>E-UI-MANUAL</x:v>
      </x:c>
      <x:c r="R88" s="83" t="str">
        <x:f>IF(COUNTIF($A$6:$A$125,A88)=1,"정상","중복")</x:f>
        <x:v>정상</x:v>
      </x:c>
      <x:c r="S88" s="83" t="str">
        <x:f>IF(AND(A88&gt;=1,A88&lt;=120),"정상","범위 오류")</x:f>
        <x:v>정상</x:v>
      </x:c>
    </x:row>
    <x:row r="89" ht="42" customHeight="1">
      <x:c r="A89" s="83" t="n">
        <x:v>84</x:v>
      </x:c>
      <x:c r="B89" s="83" t="str">
        <x:v>기능</x:v>
      </x:c>
      <x:c r="C89" s="83" t="str">
        <x:v>Manual 화면 내 Vision 관련 기능 구현</x:v>
      </x:c>
      <x:c r="D89" s="83" t="str">
        <x:v>Manual Vision 단위 동작 및 상태 표시 기능 구현</x:v>
      </x:c>
      <x:c r="E89" s="84" t="n">
        <x:v>0.1</x:v>
      </x:c>
      <x:c r="F89" s="83" t="str">
        <x:v>예정</x:v>
      </x:c>
      <x:c r="G89" s="83" t="str">
        <x:v>P1</x:v>
      </x:c>
      <x:c r="H89" s="83" t="str">
        <x:v>초기 개발 단계. 관련 사양 확정 후 우선순위에 따라 순차 개발 예정.</x:v>
      </x:c>
      <x:c r="I89" s="83" t="str">
        <x:v>MM-007, MM-008, IC-011</x:v>
      </x:c>
      <x:c r="J89" s="83" t="str">
        <x:v>UI/설정/기초 로직만 확인</x:v>
      </x:c>
      <x:c r="K89" s="84" t="n">
        <x:v>0.4</x:v>
      </x:c>
      <x:c r="L89" s="83" t="str">
        <x:v>-30%p (보고-코드)</x:v>
      </x:c>
      <x:c r="M89" s="83" t="str">
        <x:v>Stage/Scanner/Vision 명령과 수동 패턴 Script 생성 로직 확인</x:v>
      </x:c>
      <x:c r="N89" s="83" t="str">
        <x:v>Stage/Vision 실장비 및 IOF/PtoP/TEG 동작 미검증</x:v>
      </x:c>
      <x:c r="O89" s="83" t="str">
        <x:v>코드완성→단위시험→통합/실장비 검증</x:v>
      </x:c>
      <x:c r="P89" s="83" t="str">
        <x:v>06-04</x:v>
      </x:c>
      <x:c r="Q89" s="83" t="str">
        <x:v>E-UI-MANUAL</x:v>
      </x:c>
      <x:c r="R89" s="83" t="str">
        <x:f>IF(COUNTIF($A$6:$A$125,A89)=1,"정상","중복")</x:f>
        <x:v>정상</x:v>
      </x:c>
      <x:c r="S89" s="83" t="str">
        <x:f>IF(AND(A89&gt;=1,A89&lt;=120),"정상","범위 오류")</x:f>
        <x:v>정상</x:v>
      </x:c>
    </x:row>
    <x:row r="90" ht="42" customHeight="1">
      <x:c r="A90" s="83" t="n">
        <x:v>85</x:v>
      </x:c>
      <x:c r="B90" s="83" t="str">
        <x:v>기능</x:v>
      </x:c>
      <x:c r="C90" s="83" t="str">
        <x:v>Camera Image - 실시간 Image 표시 구현</x:v>
      </x:c>
      <x:c r="D90" s="83" t="str">
        <x:v>카메라 Image를 실시간으로 표시하는 기능 구현</x:v>
      </x:c>
      <x:c r="E90" s="84" t="n">
        <x:v>0.1</x:v>
      </x:c>
      <x:c r="F90" s="83" t="str">
        <x:v>예정</x:v>
      </x:c>
      <x:c r="G90" s="83" t="str">
        <x:v>P1</x:v>
      </x:c>
      <x:c r="H90" s="83" t="str">
        <x:v>초기 개발 단계. 관련 사양 확정 후 우선순위에 따라 순차 개발 예정.</x:v>
      </x:c>
      <x:c r="I90" s="83" t="str"/>
      <x:c r="J90" s="83" t="str">
        <x:v>직접 구현 근거 없음</x:v>
      </x:c>
      <x:c r="K90" s="84" t="n">
        <x:v>0.12</x:v>
      </x:c>
      <x:c r="L90" s="83" t="str">
        <x:v>-2%p (보고-코드)</x:v>
      </x:c>
      <x:c r="M90" s="83" t="str">
        <x:v>Stage/Scanner/Vision 명령과 수동 패턴 Script 생성 로직 확인</x:v>
      </x:c>
      <x:c r="N90" s="83" t="str">
        <x:v>Stage/Vision 실장비 및 IOF/PtoP/TEG 동작 미검증</x:v>
      </x:c>
      <x:c r="O90" s="83" t="str">
        <x:v>코드완성→단위시험→통합/실장비 검증</x:v>
      </x:c>
      <x:c r="P90" s="83" t="str">
        <x:v>11-08</x:v>
      </x:c>
      <x:c r="Q90" s="83" t="str">
        <x:v>E-UI-MANUAL</x:v>
      </x:c>
      <x:c r="R90" s="83" t="str">
        <x:f>IF(COUNTIF($A$6:$A$125,A90)=1,"정상","중복")</x:f>
        <x:v>정상</x:v>
      </x:c>
      <x:c r="S90" s="83" t="str">
        <x:f>IF(AND(A90&gt;=1,A90&lt;=120),"정상","범위 오류")</x:f>
        <x:v>정상</x:v>
      </x:c>
    </x:row>
    <x:row r="91" ht="42" customHeight="1">
      <x:c r="A91" s="83" t="n">
        <x:v>86</x:v>
      </x:c>
      <x:c r="B91" s="83" t="str">
        <x:v>기능</x:v>
      </x:c>
      <x:c r="C91" s="83" t="str">
        <x:v>Camera Image - 저장 Image 불러오기 구현</x:v>
      </x:c>
      <x:c r="D91" s="83" t="str">
        <x:v>저장된 Image를 불러오는 기능 구현</x:v>
      </x:c>
      <x:c r="E91" s="84" t="n">
        <x:v>0.1</x:v>
      </x:c>
      <x:c r="F91" s="83" t="str">
        <x:v>예정</x:v>
      </x:c>
      <x:c r="G91" s="83" t="str">
        <x:v>P1</x:v>
      </x:c>
      <x:c r="H91" s="83" t="str">
        <x:v>초기 개발 단계. 관련 사양 확정 후 우선순위에 따라 순차 개발 예정.</x:v>
      </x:c>
      <x:c r="I91" s="83" t="str"/>
      <x:c r="J91" s="83" t="str">
        <x:v>UI/설정/기초 로직만 확인</x:v>
      </x:c>
      <x:c r="K91" s="84" t="n">
        <x:v>0.15</x:v>
      </x:c>
      <x:c r="L91" s="83" t="str">
        <x:v>-5%p (보고-코드)</x:v>
      </x:c>
      <x:c r="M91" s="83" t="str">
        <x:v>Stage/Scanner/Vision 명령과 수동 패턴 Script 생성 로직 확인</x:v>
      </x:c>
      <x:c r="N91" s="83" t="str">
        <x:v>Stage/Vision 실장비 및 IOF/PtoP/TEG 동작 미검증</x:v>
      </x:c>
      <x:c r="O91" s="83" t="str">
        <x:v>코드완성→단위시험→통합/실장비 검증</x:v>
      </x:c>
      <x:c r="P91" s="83" t="str">
        <x:v>11-08</x:v>
      </x:c>
      <x:c r="Q91" s="83" t="str">
        <x:v>E-UI-MANUAL</x:v>
      </x:c>
      <x:c r="R91" s="83" t="str">
        <x:f>IF(COUNTIF($A$6:$A$125,A91)=1,"정상","중복")</x:f>
        <x:v>정상</x:v>
      </x:c>
      <x:c r="S91" s="83" t="str">
        <x:f>IF(AND(A91&gt;=1,A91&lt;=120),"정상","범위 오류")</x:f>
        <x:v>정상</x:v>
      </x:c>
    </x:row>
    <x:row r="92" ht="42" customHeight="1">
      <x:c r="A92" s="83" t="n">
        <x:v>87</x:v>
      </x:c>
      <x:c r="B92" s="83" t="str">
        <x:v>기능</x:v>
      </x:c>
      <x:c r="C92" s="83" t="str">
        <x:v>Align 기능 구현</x:v>
      </x:c>
      <x:c r="D92" s="83" t="str">
        <x:v>Align 요청, 결과 수신, X/Y/Theta/score 상태 저장 기능 구현</x:v>
      </x:c>
      <x:c r="E92" s="84" t="n">
        <x:v>0.2</x:v>
      </x:c>
      <x:c r="F92" s="83" t="str">
        <x:v>예정</x:v>
      </x:c>
      <x:c r="G92" s="83" t="str">
        <x:v>P1</x:v>
      </x:c>
      <x:c r="H92" s="83" t="str">
        <x:v>초기 개발 단계. 관련 사양 확정 후 우선순위에 따라 순차 개발 예정.</x:v>
      </x:c>
      <x:c r="I92" s="83" t="str">
        <x:v>AM-005, RD-007</x:v>
      </x:c>
      <x:c r="J92" s="83" t="str">
        <x:v>UI/설정/기초 로직만 확인</x:v>
      </x:c>
      <x:c r="K92" s="84" t="n">
        <x:v>0.45</x:v>
      </x:c>
      <x:c r="L92" s="83" t="str">
        <x:v>-25%p (보고-코드)</x:v>
      </x:c>
      <x:c r="M92" s="83" t="str">
        <x:v>Review Plan·Stage/Vision Move·Measure·Result Save·Retry·Offset 적용과 Thread 회귀 PASS</x:v>
      </x:c>
      <x:c r="N92" s="83" t="str">
        <x:v>16 Branch/3줄·누적 Offset·실장비 Vision 프로토콜 미검증</x:v>
      </x:c>
      <x:c r="O92" s="83" t="str">
        <x:v>코드완성→단위시험→통합/실장비 검증</x:v>
      </x:c>
      <x:c r="P92" s="83" t="str">
        <x:v>07-01, 08-04, 04-02</x:v>
      </x:c>
      <x:c r="Q92" s="83" t="str">
        <x:v>E-REVIEW</x:v>
      </x:c>
      <x:c r="R92" s="83" t="str">
        <x:f>IF(COUNTIF($A$6:$A$125,A92)=1,"정상","중복")</x:f>
        <x:v>정상</x:v>
      </x:c>
      <x:c r="S92" s="83" t="str">
        <x:f>IF(AND(A92&gt;=1,A92&lt;=120),"정상","범위 오류")</x:f>
        <x:v>정상</x:v>
      </x:c>
    </x:row>
    <x:row r="93" ht="42" customHeight="1">
      <x:c r="A93" s="83" t="n">
        <x:v>88</x:v>
      </x:c>
      <x:c r="B93" s="83" t="str">
        <x:v>기능</x:v>
      </x:c>
      <x:c r="C93" s="83" t="str">
        <x:v>Align - Offset 적용 기능 구현</x:v>
      </x:c>
      <x:c r="D93" s="83" t="str">
        <x:v>Align Offset 기능 구현</x:v>
      </x:c>
      <x:c r="E93" s="84" t="n">
        <x:v>0.2</x:v>
      </x:c>
      <x:c r="F93" s="83" t="str">
        <x:v>예정</x:v>
      </x:c>
      <x:c r="G93" s="83" t="str">
        <x:v>P1</x:v>
      </x:c>
      <x:c r="H93" s="83" t="str">
        <x:v>초기 개발 단계. 관련 사양 확정 후 우선순위에 따라 순차 개발 예정.</x:v>
      </x:c>
      <x:c r="I93" s="83" t="str">
        <x:v>AM-005, RD-005</x:v>
      </x:c>
      <x:c r="J93" s="83" t="str">
        <x:v>부분 구현 확인</x:v>
      </x:c>
      <x:c r="K93" s="84" t="n">
        <x:v>0.55</x:v>
      </x:c>
      <x:c r="L93" s="83" t="str">
        <x:v>-35%p (보고-코드)</x:v>
      </x:c>
      <x:c r="M93" s="83" t="str">
        <x:v>Review Plan·Stage/Vision Move·Measure·Result Save·Retry·Offset 적용과 Thread 회귀 PASS</x:v>
      </x:c>
      <x:c r="N93" s="83" t="str">
        <x:v>16 Branch/3줄·누적 Offset·실장비 Vision 프로토콜 미검증</x:v>
      </x:c>
      <x:c r="O93" s="83" t="str">
        <x:v>코드완성→단위시험→통합/실장비 검증</x:v>
      </x:c>
      <x:c r="P93" s="83" t="str">
        <x:v>07-01, 08-04, 08-05</x:v>
      </x:c>
      <x:c r="Q93" s="83" t="str">
        <x:v>E-REVIEW</x:v>
      </x:c>
      <x:c r="R93" s="83" t="str">
        <x:f>IF(COUNTIF($A$6:$A$125,A93)=1,"정상","중복")</x:f>
        <x:v>정상</x:v>
      </x:c>
      <x:c r="S93" s="83" t="str">
        <x:f>IF(AND(A93&gt;=1,A93&lt;=120),"정상","범위 오류")</x:f>
        <x:v>정상</x:v>
      </x:c>
    </x:row>
    <x:row r="94" ht="42" customHeight="1">
      <x:c r="A94" s="83" t="n">
        <x:v>89</x:v>
      </x:c>
      <x:c r="B94" s="83" t="str">
        <x:v>기능</x:v>
      </x:c>
      <x:c r="C94" s="83" t="str">
        <x:v>Review - 측정 명령 구현</x:v>
      </x:c>
      <x:c r="D94" s="83" t="str">
        <x:v>Review 측정 명령 구현</x:v>
      </x:c>
      <x:c r="E94" s="84" t="n">
        <x:v>0.8</x:v>
      </x:c>
      <x:c r="F94" s="83" t="str">
        <x:v>진행 중</x:v>
      </x:c>
      <x:c r="G94" s="83" t="str">
        <x:v>P3</x:v>
      </x:c>
      <x:c r="H94" s="83" t="str">
        <x:v>주요 기능 구현 완료. 장비 연동 및 통합 시험을 통해 안정화 예정.</x:v>
      </x:c>
      <x:c r="I94" s="83" t="str">
        <x:v>AM-012, MM-006, IC-001, IC-002, IC-003, IC-006, IC-007, IC-009, IC-011</x:v>
      </x:c>
      <x:c r="J94" s="83" t="str">
        <x:v>부분 구현 확인</x:v>
      </x:c>
      <x:c r="K94" s="84" t="n">
        <x:v>0.78</x:v>
      </x:c>
      <x:c r="L94" s="83" t="str">
        <x:v>+2%p (보고-코드)</x:v>
      </x:c>
      <x:c r="M94" s="83" t="str">
        <x:v>Review Plan·Stage/Vision Move·Measure·Result Save·Retry·Offset 적용과 Thread 회귀 PASS</x:v>
      </x:c>
      <x:c r="N94" s="83" t="str">
        <x:v>16 Branch/3줄·누적 Offset·실장비 Vision 프로토콜 미검증</x:v>
      </x:c>
      <x:c r="O94" s="83" t="str">
        <x:v>코드완성→단위시험→통합/실장비 검증</x:v>
      </x:c>
      <x:c r="P94" s="83" t="str">
        <x:v>09-04, 07-05, 07-08, 07-04, 06-05, 07-06, 06-04</x:v>
      </x:c>
      <x:c r="Q94" s="83" t="str">
        <x:v>E-REVIEW</x:v>
      </x:c>
      <x:c r="R94" s="83" t="str">
        <x:f>IF(COUNTIF($A$6:$A$125,A94)=1,"정상","중복")</x:f>
        <x:v>정상</x:v>
      </x:c>
      <x:c r="S94" s="83" t="str">
        <x:f>IF(AND(A94&gt;=1,A94&lt;=120),"정상","범위 오류")</x:f>
        <x:v>정상</x:v>
      </x:c>
    </x:row>
    <x:row r="95" ht="42" customHeight="1">
      <x:c r="A95" s="83" t="n">
        <x:v>90</x:v>
      </x:c>
      <x:c r="B95" s="83" t="str">
        <x:v>기능</x:v>
      </x:c>
      <x:c r="C95" s="83" t="str">
        <x:v>Review - 좌표 처리 구현</x:v>
      </x:c>
      <x:c r="D95" s="83" t="str">
        <x:v>Review 좌표 처리 구현</x:v>
      </x:c>
      <x:c r="E95" s="84" t="n">
        <x:v>0.85</x:v>
      </x:c>
      <x:c r="F95" s="83" t="str">
        <x:v>진행 중</x:v>
      </x:c>
      <x:c r="G95" s="83" t="str">
        <x:v>P3</x:v>
      </x:c>
      <x:c r="H95" s="83" t="str">
        <x:v>주요 기능 구현 완료. 장비 연동 및 통합 시험을 통해 안정화 예정.</x:v>
      </x:c>
      <x:c r="I95" s="83" t="str">
        <x:v>AM-012, MM-006, IC-001, IC-002, IC-003, IC-005, IC-007, IC-009, IC-010</x:v>
      </x:c>
      <x:c r="J95" s="83" t="str">
        <x:v>부분 구현 확인</x:v>
      </x:c>
      <x:c r="K95" s="84" t="n">
        <x:v>0.8</x:v>
      </x:c>
      <x:c r="L95" s="83" t="str">
        <x:v>+5%p (보고-코드)</x:v>
      </x:c>
      <x:c r="M95" s="83" t="str">
        <x:v>Review Plan·Stage/Vision Move·Measure·Result Save·Retry·Offset 적용과 Thread 회귀 PASS</x:v>
      </x:c>
      <x:c r="N95" s="83" t="str">
        <x:v>16 Branch/3줄·누적 Offset·실장비 Vision 프로토콜 미검증</x:v>
      </x:c>
      <x:c r="O95" s="83" t="str">
        <x:v>코드완성→단위시험→통합/실장비 검증</x:v>
      </x:c>
      <x:c r="P95" s="83" t="str">
        <x:v>09-04, 07-05, 07-08, 07-04, 06-05, 07-07, 07-06</x:v>
      </x:c>
      <x:c r="Q95" s="83" t="str">
        <x:v>E-REVIEW</x:v>
      </x:c>
      <x:c r="R95" s="83" t="str">
        <x:f>IF(COUNTIF($A$6:$A$125,A95)=1,"정상","중복")</x:f>
        <x:v>정상</x:v>
      </x:c>
      <x:c r="S95" s="83" t="str">
        <x:f>IF(AND(A95&gt;=1,A95&lt;=120),"정상","범위 오류")</x:f>
        <x:v>정상</x:v>
      </x:c>
    </x:row>
    <x:row r="96" ht="42" customHeight="1">
      <x:c r="A96" s="83" t="n">
        <x:v>91</x:v>
      </x:c>
      <x:c r="B96" s="83" t="str">
        <x:v>기능</x:v>
      </x:c>
      <x:c r="C96" s="83" t="str">
        <x:v>Review - Offset 결과 수신 및 저장 구현</x:v>
      </x:c>
      <x:c r="D96" s="83" t="str">
        <x:v>Offset 결과 수신 및 저장 구현</x:v>
      </x:c>
      <x:c r="E96" s="84" t="n">
        <x:v>0.9</x:v>
      </x:c>
      <x:c r="F96" s="83" t="str">
        <x:v>완료</x:v>
      </x:c>
      <x:c r="G96" s="83" t="str">
        <x:v>P3</x:v>
      </x:c>
      <x:c r="H96" s="83" t="str">
        <x:v>주요 기능 구현 완료. 운영 조건 및 실장비 최종 확인 예정.</x:v>
      </x:c>
      <x:c r="I96" s="83" t="str">
        <x:v>AM-012, IC-002, IC-003, IC-005, IC-007, IC-009</x:v>
      </x:c>
      <x:c r="J96" s="83" t="str">
        <x:v>부분 구현 확인</x:v>
      </x:c>
      <x:c r="K96" s="84" t="n">
        <x:v>0.82</x:v>
      </x:c>
      <x:c r="L96" s="83" t="str">
        <x:v>+8%p (보고-코드)</x:v>
      </x:c>
      <x:c r="M96" s="83" t="str">
        <x:v>Review Plan·Stage/Vision Move·Measure·Result Save·Retry·Offset 적용과 Thread 회귀 PASS</x:v>
      </x:c>
      <x:c r="N96" s="83" t="str">
        <x:v>16 Branch/3줄·누적 Offset·실장비 Vision 프로토콜 미검증</x:v>
      </x:c>
      <x:c r="O96" s="83" t="str">
        <x:v>코드완성→단위시험→통합/실장비 검증</x:v>
      </x:c>
      <x:c r="P96" s="83" t="str">
        <x:v>09-04, 07-05, 07-07, 07-06</x:v>
      </x:c>
      <x:c r="Q96" s="83" t="str">
        <x:v>E-REVIEW</x:v>
      </x:c>
      <x:c r="R96" s="83" t="str">
        <x:f>IF(COUNTIF($A$6:$A$125,A96)=1,"정상","중복")</x:f>
        <x:v>정상</x:v>
      </x:c>
      <x:c r="S96" s="83" t="str">
        <x:f>IF(AND(A96&gt;=1,A96&lt;=120),"정상","범위 오류")</x:f>
        <x:v>정상</x:v>
      </x:c>
    </x:row>
    <x:row r="97" ht="42" customHeight="1">
      <x:c r="A97" s="83" t="n">
        <x:v>92</x:v>
      </x:c>
      <x:c r="B97" s="83" t="str">
        <x:v>기능</x:v>
      </x:c>
      <x:c r="C97" s="83" t="str">
        <x:v>Review - Offset 적용 구현</x:v>
      </x:c>
      <x:c r="D97" s="83" t="str">
        <x:v>Review Offset 적용 기능 구현</x:v>
      </x:c>
      <x:c r="E97" s="84" t="n">
        <x:v>0.9</x:v>
      </x:c>
      <x:c r="F97" s="83" t="str">
        <x:v>완료</x:v>
      </x:c>
      <x:c r="G97" s="83" t="str">
        <x:v>P3</x:v>
      </x:c>
      <x:c r="H97" s="83" t="str">
        <x:v>주요 기능 구현 완료. 운영 조건 및 실장비 최종 확인 예정.</x:v>
      </x:c>
      <x:c r="I97" s="83" t="str">
        <x:v>AM-012, RD-005, IC-002, IC-003, IC-004, IC-005</x:v>
      </x:c>
      <x:c r="J97" s="83" t="str">
        <x:v>부분 구현 확인</x:v>
      </x:c>
      <x:c r="K97" s="84" t="n">
        <x:v>0.78</x:v>
      </x:c>
      <x:c r="L97" s="83" t="str">
        <x:v>+12%p (보고-코드)</x:v>
      </x:c>
      <x:c r="M97" s="83" t="str">
        <x:v>Review Plan·Stage/Vision Move·Measure·Result Save·Retry·Offset 적용과 Thread 회귀 PASS</x:v>
      </x:c>
      <x:c r="N97" s="83" t="str">
        <x:v>16 Branch/3줄·누적 Offset·실장비 Vision 프로토콜 미검증</x:v>
      </x:c>
      <x:c r="O97" s="83" t="str">
        <x:v>코드완성→단위시험→통합/실장비 검증</x:v>
      </x:c>
      <x:c r="P97" s="83" t="str">
        <x:v>09-04, 07-05, 08-05, 07-07</x:v>
      </x:c>
      <x:c r="Q97" s="83" t="str">
        <x:v>E-REVIEW</x:v>
      </x:c>
      <x:c r="R97" s="83" t="str">
        <x:f>IF(COUNTIF($A$6:$A$125,A97)=1,"정상","중복")</x:f>
        <x:v>정상</x:v>
      </x:c>
      <x:c r="S97" s="83" t="str">
        <x:f>IF(AND(A97&gt;=1,A97&lt;=120),"정상","범위 오류")</x:f>
        <x:v>정상</x:v>
      </x:c>
    </x:row>
    <x:row r="98" ht="42" customHeight="1">
      <x:c r="A98" s="83" t="n">
        <x:v>93</x:v>
      </x:c>
      <x:c r="B98" s="83" t="str">
        <x:v>기능</x:v>
      </x:c>
      <x:c r="C98" s="83" t="str">
        <x:v>Recipe 목록 및 관리 기능 구현</x:v>
      </x:c>
      <x:c r="D98" s="83" t="str">
        <x:v>Recipe 조회·불러오기·저장·삭제·생성·이름 변경 기능 구현</x:v>
      </x:c>
      <x:c r="E98" s="84" t="n">
        <x:v>0.9</x:v>
      </x:c>
      <x:c r="F98" s="83" t="str">
        <x:v>완료</x:v>
      </x:c>
      <x:c r="G98" s="83" t="str">
        <x:v>P3</x:v>
      </x:c>
      <x:c r="H98" s="83" t="str">
        <x:v>주요 기능 구현 완료. 운영 조건 및 실장비 최종 확인 예정.</x:v>
      </x:c>
      <x:c r="I98" s="83" t="str">
        <x:v>AM-014, RD-001</x:v>
      </x:c>
      <x:c r="J98" s="83" t="str">
        <x:v>구현·빌드·회귀시험 확인</x:v>
      </x:c>
      <x:c r="K98" s="84" t="n">
        <x:v>0.88</x:v>
      </x:c>
      <x:c r="L98" s="83" t="str">
        <x:v>+2%p (보고-코드)</x:v>
      </x:c>
      <x:c r="M98" s="83" t="str">
        <x:v>Recipe 저장/로드/삭제/이름변경/변경로그와 round-trip PASS</x:v>
      </x:c>
      <x:c r="N98" s="83" t="str">
        <x:v>보정데이터 포함 복사·PPID 매칭·Auto Job Change 미완</x:v>
      </x:c>
      <x:c r="O98" s="83" t="str">
        <x:v>회귀 PASS 유지 + 실장비/통합 검증</x:v>
      </x:c>
      <x:c r="P98" s="83" t="str">
        <x:v>05-05, 04-01</x:v>
      </x:c>
      <x:c r="Q98" s="83" t="str">
        <x:v>E-RECIPE-FILE</x:v>
      </x:c>
      <x:c r="R98" s="83" t="str">
        <x:f>IF(COUNTIF($A$6:$A$125,A98)=1,"정상","중복")</x:f>
        <x:v>정상</x:v>
      </x:c>
      <x:c r="S98" s="83" t="str">
        <x:f>IF(AND(A98&gt;=1,A98&lt;=120),"정상","범위 오류")</x:f>
        <x:v>정상</x:v>
      </x:c>
    </x:row>
    <x:row r="99" ht="42" customHeight="1">
      <x:c r="A99" s="83" t="n">
        <x:v>94</x:v>
      </x:c>
      <x:c r="B99" s="83" t="str">
        <x:v>기능</x:v>
      </x:c>
      <x:c r="C99" s="83" t="str">
        <x:v>Recipe Parameter - 목록 확정</x:v>
      </x:c>
      <x:c r="D99" s="83" t="str">
        <x:v>Recipe로 관리할 Parameter 목록 확정</x:v>
      </x:c>
      <x:c r="E99" s="84" t="n">
        <x:v>0.95</x:v>
      </x:c>
      <x:c r="F99" s="83" t="str">
        <x:v>완료</x:v>
      </x:c>
      <x:c r="G99" s="83" t="str">
        <x:v>P3</x:v>
      </x:c>
      <x:c r="H99" s="83" t="str">
        <x:v>주요 기능 구현 완료. 운영 조건 및 실장비 최종 확인 예정.</x:v>
      </x:c>
      <x:c r="I99" s="83" t="str">
        <x:v>RD-002, RD-003, RD-004, RD-007, IC-006, IC-008</x:v>
      </x:c>
      <x:c r="J99" s="83" t="str">
        <x:v>구현·빌드·회귀시험 확인</x:v>
      </x:c>
      <x:c r="K99" s="84" t="n">
        <x:v>0.88</x:v>
      </x:c>
      <x:c r="L99" s="83" t="str">
        <x:v>+7%p (보고-코드)</x:v>
      </x:c>
      <x:c r="M99" s="83" t="str">
        <x:v>Recipe 저장/로드/삭제/이름변경/변경로그와 round-trip PASS</x:v>
      </x:c>
      <x:c r="N99" s="83" t="str">
        <x:v>보정데이터 포함 복사·PPID 매칭·Auto Job Change 미완</x:v>
      </x:c>
      <x:c r="O99" s="83" t="str">
        <x:v>회귀 PASS 유지 + 실장비/통합 검증</x:v>
      </x:c>
      <x:c r="P99" s="83" t="str">
        <x:v>04-02, 08-05, 09-02, 07-01, 07-04, 07-06</x:v>
      </x:c>
      <x:c r="Q99" s="83" t="str">
        <x:v>E-RECIPE-FILE</x:v>
      </x:c>
      <x:c r="R99" s="83" t="str">
        <x:f>IF(COUNTIF($A$6:$A$125,A99)=1,"정상","중복")</x:f>
        <x:v>정상</x:v>
      </x:c>
      <x:c r="S99" s="83" t="str">
        <x:f>IF(AND(A99&gt;=1,A99&lt;=120),"정상","범위 오류")</x:f>
        <x:v>정상</x:v>
      </x:c>
    </x:row>
    <x:row r="100" ht="42" customHeight="1">
      <x:c r="A100" s="83" t="n">
        <x:v>95</x:v>
      </x:c>
      <x:c r="B100" s="83" t="str">
        <x:v>기능</x:v>
      </x:c>
      <x:c r="C100" s="83" t="str">
        <x:v>Recipe Parameter 수정·저장 기능 구현</x:v>
      </x:c>
      <x:c r="D100" s="83" t="str">
        <x:v>Recipe Parameter 수정·저장 기능 구현</x:v>
      </x:c>
      <x:c r="E100" s="84" t="n">
        <x:v>0.8</x:v>
      </x:c>
      <x:c r="F100" s="83" t="str">
        <x:v>진행 중</x:v>
      </x:c>
      <x:c r="G100" s="83" t="str">
        <x:v>P3</x:v>
      </x:c>
      <x:c r="H100" s="83" t="str">
        <x:v>주요 기능 구현 완료. 장비 연동 및 통합 시험을 통해 안정화 예정.</x:v>
      </x:c>
      <x:c r="I100" s="83" t="str">
        <x:v>RD-001, RD-003, RD-005, IC-004, IC-005</x:v>
      </x:c>
      <x:c r="J100" s="83" t="str">
        <x:v>구현·빌드·회귀시험 확인</x:v>
      </x:c>
      <x:c r="K100" s="84" t="n">
        <x:v>0.88</x:v>
      </x:c>
      <x:c r="L100" s="83" t="str">
        <x:v>-8%p (보고-코드)</x:v>
      </x:c>
      <x:c r="M100" s="83" t="str">
        <x:v>Recipe 저장/로드/삭제/이름변경/변경로그와 round-trip PASS</x:v>
      </x:c>
      <x:c r="N100" s="83" t="str">
        <x:v>보정데이터 포함 복사·PPID 매칭·Auto Job Change 미완</x:v>
      </x:c>
      <x:c r="O100" s="83" t="str">
        <x:v>회귀 PASS 유지 + 실장비/통합 검증</x:v>
      </x:c>
      <x:c r="P100" s="83" t="str">
        <x:v>04-01, 04-02, 08-05, 07-05, 07-07</x:v>
      </x:c>
      <x:c r="Q100" s="83" t="str">
        <x:v>E-RECIPE-FILE</x:v>
      </x:c>
      <x:c r="R100" s="83" t="str">
        <x:f>IF(COUNTIF($A$6:$A$125,A100)=1,"정상","중복")</x:f>
        <x:v>정상</x:v>
      </x:c>
      <x:c r="S100" s="83" t="str">
        <x:f>IF(AND(A100&gt;=1,A100&lt;=120),"정상","범위 오류")</x:f>
        <x:v>정상</x:v>
      </x:c>
    </x:row>
    <x:row r="101" ht="42" customHeight="1">
      <x:c r="A101" s="83" t="n">
        <x:v>96</x:v>
      </x:c>
      <x:c r="B101" s="83" t="str">
        <x:v>기능</x:v>
      </x:c>
      <x:c r="C101" s="83" t="str">
        <x:v>Head별 Parameter 목록 확정</x:v>
      </x:c>
      <x:c r="D101" s="83" t="str">
        <x:v>Head별로 관리할 Parameter 확정</x:v>
      </x:c>
      <x:c r="E101" s="84" t="n">
        <x:v>0.85</x:v>
      </x:c>
      <x:c r="F101" s="83" t="str">
        <x:v>진행 중</x:v>
      </x:c>
      <x:c r="G101" s="83" t="str">
        <x:v>P3</x:v>
      </x:c>
      <x:c r="H101" s="83" t="str">
        <x:v>주요 기능 구현 완료. 장비 연동 및 통합 시험을 통해 안정화 예정.</x:v>
      </x:c>
      <x:c r="I101" s="83" t="str">
        <x:v>RD-003, RD-004, SS-003</x:v>
      </x:c>
      <x:c r="J101" s="83" t="str">
        <x:v>구현·빌드·회귀시험 확인</x:v>
      </x:c>
      <x:c r="K101" s="84" t="n">
        <x:v>0.88</x:v>
      </x:c>
      <x:c r="L101" s="83" t="str">
        <x:v>-3%p (보고-코드)</x:v>
      </x:c>
      <x:c r="M101" s="83" t="str">
        <x:v>Recipe 저장/로드/삭제/이름변경/변경로그와 round-trip PASS</x:v>
      </x:c>
      <x:c r="N101" s="83" t="str">
        <x:v>보정데이터 포함 복사·PPID 매칭·Auto Job Change 미완</x:v>
      </x:c>
      <x:c r="O101" s="83" t="str">
        <x:v>회귀 PASS 유지 + 실장비/통합 검증</x:v>
      </x:c>
      <x:c r="P101" s="83" t="str">
        <x:v>04-02, 08-05, 09-02, 08-02, 08-04</x:v>
      </x:c>
      <x:c r="Q101" s="83" t="str">
        <x:v>E-RECIPE-FILE</x:v>
      </x:c>
      <x:c r="R101" s="83" t="str">
        <x:f>IF(COUNTIF($A$6:$A$125,A101)=1,"정상","중복")</x:f>
        <x:v>정상</x:v>
      </x:c>
      <x:c r="S101" s="83" t="str">
        <x:f>IF(AND(A101&gt;=1,A101&lt;=120),"정상","범위 오류")</x:f>
        <x:v>정상</x:v>
      </x:c>
    </x:row>
    <x:row r="102" ht="42" customHeight="1">
      <x:c r="A102" s="83" t="n">
        <x:v>97</x:v>
      </x:c>
      <x:c r="B102" s="83" t="str">
        <x:v>기능</x:v>
      </x:c>
      <x:c r="C102" s="83" t="str">
        <x:v>Head별 Parameter 수정·저장 기능 구현</x:v>
      </x:c>
      <x:c r="D102" s="83" t="str">
        <x:v>Head별 Parameter 수정·저장 기능 구현</x:v>
      </x:c>
      <x:c r="E102" s="84" t="n">
        <x:v>0.8</x:v>
      </x:c>
      <x:c r="F102" s="83" t="str">
        <x:v>진행 중</x:v>
      </x:c>
      <x:c r="G102" s="83" t="str">
        <x:v>P3</x:v>
      </x:c>
      <x:c r="H102" s="83" t="str">
        <x:v>주요 기능 구현 완료. 장비 연동 및 통합 시험을 통해 안정화 예정.</x:v>
      </x:c>
      <x:c r="I102" s="83" t="str">
        <x:v>RD-003, RD-004, RD-005, IC-004, SS-003</x:v>
      </x:c>
      <x:c r="J102" s="83" t="str">
        <x:v>구현·빌드·회귀시험 확인</x:v>
      </x:c>
      <x:c r="K102" s="84" t="n">
        <x:v>0.88</x:v>
      </x:c>
      <x:c r="L102" s="83" t="str">
        <x:v>-8%p (보고-코드)</x:v>
      </x:c>
      <x:c r="M102" s="83" t="str">
        <x:v>Recipe 저장/로드/삭제/이름변경/변경로그와 round-trip PASS</x:v>
      </x:c>
      <x:c r="N102" s="83" t="str">
        <x:v>보정데이터 포함 복사·PPID 매칭·Auto Job Change 미완</x:v>
      </x:c>
      <x:c r="O102" s="83" t="str">
        <x:v>회귀 PASS 유지 + 실장비/통합 검증</x:v>
      </x:c>
      <x:c r="P102" s="83" t="str">
        <x:v>04-02, 08-05, 09-02, 07-05, 08-02, 08-04</x:v>
      </x:c>
      <x:c r="Q102" s="83" t="str">
        <x:v>E-RECIPE-FILE</x:v>
      </x:c>
      <x:c r="R102" s="83" t="str">
        <x:f>IF(COUNTIF($A$6:$A$125,A102)=1,"정상","중복")</x:f>
        <x:v>정상</x:v>
      </x:c>
      <x:c r="S102" s="83" t="str">
        <x:f>IF(AND(A102&gt;=1,A102&lt;=120),"정상","범위 오류")</x:f>
        <x:v>정상</x:v>
      </x:c>
    </x:row>
    <x:row r="103" ht="42" customHeight="1">
      <x:c r="A103" s="83" t="n">
        <x:v>98</x:v>
      </x:c>
      <x:c r="B103" s="83" t="str">
        <x:v>기능</x:v>
      </x:c>
      <x:c r="C103" s="83" t="str">
        <x:v>Process별 Parameter 목록 확정</x:v>
      </x:c>
      <x:c r="D103" s="83" t="str">
        <x:v>Process로 관리할 Parameter 확정</x:v>
      </x:c>
      <x:c r="E103" s="84" t="n">
        <x:v>0.85</x:v>
      </x:c>
      <x:c r="F103" s="83" t="str">
        <x:v>진행 중</x:v>
      </x:c>
      <x:c r="G103" s="83" t="str">
        <x:v>P3</x:v>
      </x:c>
      <x:c r="H103" s="83" t="str">
        <x:v>주요 기능 구현 완료. 장비 연동 및 통합 시험을 통해 안정화 예정.</x:v>
      </x:c>
      <x:c r="I103" s="83" t="str">
        <x:v>RD-002, RD-003</x:v>
      </x:c>
      <x:c r="J103" s="83" t="str">
        <x:v>구현·빌드·회귀시험 확인</x:v>
      </x:c>
      <x:c r="K103" s="84" t="n">
        <x:v>0.88</x:v>
      </x:c>
      <x:c r="L103" s="83" t="str">
        <x:v>-3%p (보고-코드)</x:v>
      </x:c>
      <x:c r="M103" s="83" t="str">
        <x:v>Recipe 저장/로드/삭제/이름변경/변경로그와 round-trip PASS</x:v>
      </x:c>
      <x:c r="N103" s="83" t="str">
        <x:v>보정데이터 포함 복사·PPID 매칭·Auto Job Change 미완</x:v>
      </x:c>
      <x:c r="O103" s="83" t="str">
        <x:v>회귀 PASS 유지 + 실장비/통합 검증</x:v>
      </x:c>
      <x:c r="P103" s="83" t="str">
        <x:v>04-02, 08-05</x:v>
      </x:c>
      <x:c r="Q103" s="83" t="str">
        <x:v>E-RECIPE-FILE</x:v>
      </x:c>
      <x:c r="R103" s="83" t="str">
        <x:f>IF(COUNTIF($A$6:$A$125,A103)=1,"정상","중복")</x:f>
        <x:v>정상</x:v>
      </x:c>
      <x:c r="S103" s="83" t="str">
        <x:f>IF(AND(A103&gt;=1,A103&lt;=120),"정상","범위 오류")</x:f>
        <x:v>정상</x:v>
      </x:c>
    </x:row>
    <x:row r="104" ht="42" customHeight="1">
      <x:c r="A104" s="83" t="n">
        <x:v>99</x:v>
      </x:c>
      <x:c r="B104" s="83" t="str">
        <x:v>기능</x:v>
      </x:c>
      <x:c r="C104" s="83" t="str">
        <x:v>Process별 Parameter 수정·저장 기능 구현</x:v>
      </x:c>
      <x:c r="D104" s="83" t="str">
        <x:v>Process별 Parameter 수정·저장 기능 구현</x:v>
      </x:c>
      <x:c r="E104" s="84" t="n">
        <x:v>0.85</x:v>
      </x:c>
      <x:c r="F104" s="83" t="str">
        <x:v>진행 중</x:v>
      </x:c>
      <x:c r="G104" s="83" t="str">
        <x:v>P3</x:v>
      </x:c>
      <x:c r="H104" s="83" t="str">
        <x:v>주요 기능 구현 완료. 장비 연동 및 통합 시험을 통해 안정화 예정.</x:v>
      </x:c>
      <x:c r="I104" s="83" t="str">
        <x:v>RD-003, RD-005, IC-004</x:v>
      </x:c>
      <x:c r="J104" s="83" t="str">
        <x:v>구현·빌드·회귀시험 확인</x:v>
      </x:c>
      <x:c r="K104" s="84" t="n">
        <x:v>0.88</x:v>
      </x:c>
      <x:c r="L104" s="83" t="str">
        <x:v>-3%p (보고-코드)</x:v>
      </x:c>
      <x:c r="M104" s="83" t="str">
        <x:v>Recipe 저장/로드/삭제/이름변경/변경로그와 round-trip PASS</x:v>
      </x:c>
      <x:c r="N104" s="83" t="str">
        <x:v>보정데이터 포함 복사·PPID 매칭·Auto Job Change 미완</x:v>
      </x:c>
      <x:c r="O104" s="83" t="str">
        <x:v>회귀 PASS 유지 + 실장비/통합 검증</x:v>
      </x:c>
      <x:c r="P104" s="83" t="str">
        <x:v>04-02, 08-05, 07-05</x:v>
      </x:c>
      <x:c r="Q104" s="83" t="str">
        <x:v>E-RECIPE-FILE</x:v>
      </x:c>
      <x:c r="R104" s="83" t="str">
        <x:f>IF(COUNTIF($A$6:$A$125,A104)=1,"정상","중복")</x:f>
        <x:v>정상</x:v>
      </x:c>
      <x:c r="S104" s="83" t="str">
        <x:f>IF(AND(A104&gt;=1,A104&lt;=120),"정상","범위 오류")</x:f>
        <x:v>정상</x:v>
      </x:c>
    </x:row>
    <x:row r="105" ht="42" customHeight="1">
      <x:c r="A105" s="83" t="n">
        <x:v>100</x:v>
      </x:c>
      <x:c r="B105" s="83" t="str">
        <x:v>기능</x:v>
      </x:c>
      <x:c r="C105" s="83" t="str">
        <x:v>Config Parameter - 목록 확정</x:v>
      </x:c>
      <x:c r="D105" s="83" t="str">
        <x:v>Config에서 관리할 Parameter 목록 확정</x:v>
      </x:c>
      <x:c r="E105" s="84" t="n">
        <x:v>0.9</x:v>
      </x:c>
      <x:c r="F105" s="83" t="str">
        <x:v>완료</x:v>
      </x:c>
      <x:c r="G105" s="83" t="str">
        <x:v>P3</x:v>
      </x:c>
      <x:c r="H105" s="83" t="str">
        <x:v>주요 기능 구현 완료. 운영 조건 및 실장비 최종 확인 예정.</x:v>
      </x:c>
      <x:c r="I105" s="83" t="str">
        <x:v>AM-009, AM-016, SS-008</x:v>
      </x:c>
      <x:c r="J105" s="83" t="str">
        <x:v>구현·빌드·회귀시험 확인</x:v>
      </x:c>
      <x:c r="K105" s="84" t="n">
        <x:v>0.87</x:v>
      </x:c>
      <x:c r="L105" s="83" t="str">
        <x:v>+3%p (보고-코드)</x:v>
      </x:c>
      <x:c r="M105" s="83" t="str">
        <x:v>Setting 저장/로드/범위 검증 round-trip PASS</x:v>
      </x:c>
      <x:c r="N105" s="83" t="str">
        <x:v>설정 백업/복구·버전 Migration 미완</x:v>
      </x:c>
      <x:c r="O105" s="83" t="str">
        <x:v>회귀 PASS 유지 + 실장비/통합 검증</x:v>
      </x:c>
      <x:c r="P105" s="83" t="str">
        <x:v>02-01, 02-04, 04-06, 01-06, 10-04</x:v>
      </x:c>
      <x:c r="Q105" s="83" t="str">
        <x:v>E-SETTING-FILE</x:v>
      </x:c>
      <x:c r="R105" s="83" t="str">
        <x:f>IF(COUNTIF($A$6:$A$125,A105)=1,"정상","중복")</x:f>
        <x:v>정상</x:v>
      </x:c>
      <x:c r="S105" s="83" t="str">
        <x:f>IF(AND(A105&gt;=1,A105&lt;=120),"정상","범위 오류")</x:f>
        <x:v>정상</x:v>
      </x:c>
    </x:row>
    <x:row r="106" ht="42" customHeight="1">
      <x:c r="A106" s="83" t="n">
        <x:v>101</x:v>
      </x:c>
      <x:c r="B106" s="83" t="str">
        <x:v>기능</x:v>
      </x:c>
      <x:c r="C106" s="83" t="str">
        <x:v>Config Parameter 수정·저장 기능 구현</x:v>
      </x:c>
      <x:c r="D106" s="83" t="str">
        <x:v>Config Parameter 수정·저장 기능 구현</x:v>
      </x:c>
      <x:c r="E106" s="84" t="n">
        <x:v>0.8</x:v>
      </x:c>
      <x:c r="F106" s="83" t="str">
        <x:v>진행 중</x:v>
      </x:c>
      <x:c r="G106" s="83" t="str">
        <x:v>P3</x:v>
      </x:c>
      <x:c r="H106" s="83" t="str">
        <x:v>주요 기능 구현 완료. 장비 연동 및 통합 시험을 통해 안정화 예정.</x:v>
      </x:c>
      <x:c r="I106" s="83" t="str">
        <x:v>AM-009, AM-016, SS-008</x:v>
      </x:c>
      <x:c r="J106" s="83" t="str">
        <x:v>구현·빌드·회귀시험 확인</x:v>
      </x:c>
      <x:c r="K106" s="84" t="n">
        <x:v>0.87</x:v>
      </x:c>
      <x:c r="L106" s="83" t="str">
        <x:v>-7%p (보고-코드)</x:v>
      </x:c>
      <x:c r="M106" s="83" t="str">
        <x:v>Setting 저장/로드/범위 검증 round-trip PASS</x:v>
      </x:c>
      <x:c r="N106" s="83" t="str">
        <x:v>설정 백업/복구·버전 Migration 미완</x:v>
      </x:c>
      <x:c r="O106" s="83" t="str">
        <x:v>회귀 PASS 유지 + 실장비/통합 검증</x:v>
      </x:c>
      <x:c r="P106" s="83" t="str">
        <x:v>02-01, 02-04, 04-06, 01-06, 10-04</x:v>
      </x:c>
      <x:c r="Q106" s="83" t="str">
        <x:v>E-SETTING-FILE</x:v>
      </x:c>
      <x:c r="R106" s="83" t="str">
        <x:f>IF(COUNTIF($A$6:$A$125,A106)=1,"정상","중복")</x:f>
        <x:v>정상</x:v>
      </x:c>
      <x:c r="S106" s="83" t="str">
        <x:f>IF(AND(A106&gt;=1,A106&lt;=120),"정상","범위 오류")</x:f>
        <x:v>정상</x:v>
      </x:c>
    </x:row>
    <x:row r="107" ht="42" customHeight="1">
      <x:c r="A107" s="83" t="n">
        <x:v>102</x:v>
      </x:c>
      <x:c r="B107" s="83" t="str">
        <x:v>기능</x:v>
      </x:c>
      <x:c r="C107" s="83" t="str">
        <x:v>Monitoring - ATT 단위 동작 구현</x:v>
      </x:c>
      <x:c r="D107" s="83" t="str">
        <x:v>ATT 단위 동작 기능 구현</x:v>
      </x:c>
      <x:c r="E107" s="84" t="n">
        <x:v>0.8</x:v>
      </x:c>
      <x:c r="F107" s="83" t="str">
        <x:v>진행 중</x:v>
      </x:c>
      <x:c r="G107" s="83" t="str">
        <x:v>P3</x:v>
      </x:c>
      <x:c r="H107" s="83" t="str">
        <x:v>주요 기능 구현 완료. 장비 연동 및 통합 시험을 통해 안정화 예정.</x:v>
      </x:c>
      <x:c r="I107" s="83" t="str">
        <x:v>AM-004, AM-010, SS-002, SS-006</x:v>
      </x:c>
      <x:c r="J107" s="83" t="str">
        <x:v>부분 구현 확인</x:v>
      </x:c>
      <x:c r="K107" s="84" t="n">
        <x:v>0.76</x:v>
      </x:c>
      <x:c r="L107" s="83" t="str">
        <x:v>+4%p (보고-코드)</x:v>
      </x:c>
      <x:c r="M107" s="83" t="str">
        <x:v>CONEX-AGP 위치/Origin/Stop/Error 명령과 Simulation 회귀 근거 확인</x:v>
      </x:c>
      <x:c r="N107" s="83" t="str">
        <x:v>8 Head별 Min/Max·사용량·보호윈도우 판단 연계 미완</x:v>
      </x:c>
      <x:c r="O107" s="83" t="str">
        <x:v>코드완성→단위시험→통합/실장비 검증</x:v>
      </x:c>
      <x:c r="P107" s="83" t="str">
        <x:v>02-06, 09-02, 06-01</x:v>
      </x:c>
      <x:c r="Q107" s="83" t="str">
        <x:v>E-ATT</x:v>
      </x:c>
      <x:c r="R107" s="83" t="str">
        <x:f>IF(COUNTIF($A$6:$A$125,A107)=1,"정상","중복")</x:f>
        <x:v>정상</x:v>
      </x:c>
      <x:c r="S107" s="83" t="str">
        <x:f>IF(AND(A107&gt;=1,A107&lt;=120),"정상","범위 오류")</x:f>
        <x:v>정상</x:v>
      </x:c>
    </x:row>
    <x:row r="108" ht="42" customHeight="1">
      <x:c r="A108" s="83" t="n">
        <x:v>103</x:v>
      </x:c>
      <x:c r="B108" s="83" t="str">
        <x:v>기능</x:v>
      </x:c>
      <x:c r="C108" s="83" t="str">
        <x:v>Monitoring - BET 단위 동작 구현</x:v>
      </x:c>
      <x:c r="D108" s="83" t="str">
        <x:v>BET 단위 동작 기능 구현</x:v>
      </x:c>
      <x:c r="E108" s="84" t="n">
        <x:v>0.8</x:v>
      </x:c>
      <x:c r="F108" s="83" t="str">
        <x:v>진행 중</x:v>
      </x:c>
      <x:c r="G108" s="83" t="str">
        <x:v>P3</x:v>
      </x:c>
      <x:c r="H108" s="83" t="str">
        <x:v>주요 기능 구현 완료. 장비 연동 및 통합 시험을 통해 안정화 예정.</x:v>
      </x:c>
      <x:c r="I108" s="83" t="str">
        <x:v>AM-004, AM-010, MM-001, SS-002</x:v>
      </x:c>
      <x:c r="J108" s="83" t="str">
        <x:v>부분 구현 확인</x:v>
      </x:c>
      <x:c r="K108" s="84" t="n">
        <x:v>0.74</x:v>
      </x:c>
      <x:c r="L108" s="83" t="str">
        <x:v>+6%p (보고-코드)</x:v>
      </x:c>
      <x:c r="M108" s="83" t="str">
        <x:v>Beam Expander L1/L2 성격 명령과 Simulation 회귀 근거 확인</x:v>
      </x:c>
      <x:c r="N108" s="83" t="str">
        <x:v>실제 광학계 위치 공차·복귀 안전조건 미검증</x:v>
      </x:c>
      <x:c r="O108" s="83" t="str">
        <x:v>코드완성→단위시험→통합/실장비 검증</x:v>
      </x:c>
      <x:c r="P108" s="83" t="str">
        <x:v>02-06, 09-02, 06-01</x:v>
      </x:c>
      <x:c r="Q108" s="83" t="str">
        <x:v>E-BET</x:v>
      </x:c>
      <x:c r="R108" s="83" t="str">
        <x:f>IF(COUNTIF($A$6:$A$125,A108)=1,"정상","중복")</x:f>
        <x:v>정상</x:v>
      </x:c>
      <x:c r="S108" s="83" t="str">
        <x:f>IF(AND(A108&gt;=1,A108&lt;=120),"정상","범위 오류")</x:f>
        <x:v>정상</x:v>
      </x:c>
    </x:row>
    <x:row r="109" ht="42" customHeight="1">
      <x:c r="A109" s="83" t="n">
        <x:v>104</x:v>
      </x:c>
      <x:c r="B109" s="83" t="str">
        <x:v>기능</x:v>
      </x:c>
      <x:c r="C109" s="83" t="str">
        <x:v>Monitoring - Laser 단위 동작 구현</x:v>
      </x:c>
      <x:c r="D109" s="83" t="str">
        <x:v>Laser 단위 동작 기능 구현</x:v>
      </x:c>
      <x:c r="E109" s="84" t="n">
        <x:v>0.8</x:v>
      </x:c>
      <x:c r="F109" s="83" t="str">
        <x:v>진행 중</x:v>
      </x:c>
      <x:c r="G109" s="83" t="str">
        <x:v>P2</x:v>
      </x:c>
      <x:c r="H109" s="83" t="str">
        <x:v>기본 기능 구현 중. 연계 시나리오와 예외 처리 보완 예정.</x:v>
      </x:c>
      <x:c r="I109" s="83" t="str">
        <x:v>AM-004, SS-001</x:v>
      </x:c>
      <x:c r="J109" s="83" t="str">
        <x:v>부분 구현 확인</x:v>
      </x:c>
      <x:c r="K109" s="84" t="n">
        <x:v>0.76</x:v>
      </x:c>
      <x:c r="L109" s="83" t="str">
        <x:v>+4%p (보고-코드)</x:v>
      </x:c>
      <x:c r="M109" s="83" t="str">
        <x:v>Talon Diode/Power/Frequency/Gate 계열 명령과 Simulation 회귀 근거 확인</x:v>
      </x:c>
      <x:c r="N109" s="83" t="str">
        <x:v>출사 조건·Gate/Shutter 타이밍·실물 인터락 미검증</x:v>
      </x:c>
      <x:c r="O109" s="83" t="str">
        <x:v>코드완성→단위시험→통합/실장비 검증</x:v>
      </x:c>
      <x:c r="P109" s="83" t="str">
        <x:v>02-06, 09-02, 09-01</x:v>
      </x:c>
      <x:c r="Q109" s="83" t="str">
        <x:v>E-LASER</x:v>
      </x:c>
      <x:c r="R109" s="83" t="str">
        <x:f>IF(COUNTIF($A$6:$A$125,A109)=1,"정상","중복")</x:f>
        <x:v>정상</x:v>
      </x:c>
      <x:c r="S109" s="83" t="str">
        <x:f>IF(AND(A109&gt;=1,A109&lt;=120),"정상","범위 오류")</x:f>
        <x:v>정상</x:v>
      </x:c>
    </x:row>
    <x:row r="110" ht="42" customHeight="1">
      <x:c r="A110" s="83" t="n">
        <x:v>105</x:v>
      </x:c>
      <x:c r="B110" s="83" t="str">
        <x:v>기능</x:v>
      </x:c>
      <x:c r="C110" s="83" t="str">
        <x:v>Monitoring - PowerMeter 단위 동작 구현</x:v>
      </x:c>
      <x:c r="D110" s="83" t="str">
        <x:v>PowerMeter 단위 동작 기능 구현</x:v>
      </x:c>
      <x:c r="E110" s="84" t="n">
        <x:v>0.35</x:v>
      </x:c>
      <x:c r="F110" s="83" t="str">
        <x:v>진행 중</x:v>
      </x:c>
      <x:c r="G110" s="83" t="str">
        <x:v>P2</x:v>
      </x:c>
      <x:c r="H110" s="83" t="str">
        <x:v>핵심 구조 개발 중. 장비 연동 및 기능 안정화가 필요.</x:v>
      </x:c>
      <x:c r="I110" s="83" t="str">
        <x:v>AM-004, AM-012, SS-004, SS-005</x:v>
      </x:c>
      <x:c r="J110" s="83" t="str">
        <x:v>부분 구현 확인</x:v>
      </x:c>
      <x:c r="K110" s="84" t="n">
        <x:v>0.58</x:v>
      </x:c>
      <x:c r="L110" s="83" t="str">
        <x:v>-23%p (보고-코드)</x:v>
      </x:c>
      <x:c r="M110" s="83" t="str">
        <x:v>PowerMeter 설정/측정 명령과 Monitor 측정 Sequence 확인</x:v>
      </x:c>
      <x:c r="N110" s="83" t="str">
        <x:v>ATT 폐루프 자동 보정·반복 종료조건·실측 재현성 미완</x:v>
      </x:c>
      <x:c r="O110" s="83" t="str">
        <x:v>코드완성→단위시험→통합/실장비 검증</x:v>
      </x:c>
      <x:c r="P110" s="83" t="str">
        <x:v>02-06, 09-02, 09-04, 07-05, 09-03</x:v>
      </x:c>
      <x:c r="Q110" s="83" t="str">
        <x:v>E-POWERMETER</x:v>
      </x:c>
      <x:c r="R110" s="83" t="str">
        <x:f>IF(COUNTIF($A$6:$A$125,A110)=1,"정상","중복")</x:f>
        <x:v>정상</x:v>
      </x:c>
      <x:c r="S110" s="83" t="str">
        <x:f>IF(AND(A110&gt;=1,A110&lt;=120),"정상","범위 오류")</x:f>
        <x:v>정상</x:v>
      </x:c>
    </x:row>
    <x:row r="111" ht="42" customHeight="1">
      <x:c r="A111" s="83" t="n">
        <x:v>106</x:v>
      </x:c>
      <x:c r="B111" s="83" t="str">
        <x:v>기능</x:v>
      </x:c>
      <x:c r="C111" s="83" t="str">
        <x:v>Melsec Data - Product Data 읽기/쓰기 구현</x:v>
      </x:c>
      <x:c r="D111" s="83" t="str">
        <x:v>Glass ID, PPID, EQ Recipe, 투입/투출/체류 상태를 PLC에서 읽어 Product에 반영</x:v>
      </x:c>
      <x:c r="E111" s="84" t="n">
        <x:v>0.25</x:v>
      </x:c>
      <x:c r="F111" s="83" t="str">
        <x:v>예정</x:v>
      </x:c>
      <x:c r="G111" s="83" t="str">
        <x:v>P1</x:v>
      </x:c>
      <x:c r="H111" s="83" t="str">
        <x:v>초기 개발 단계. 관련 사양 확정 후 우선순위에 따라 순차 개발 예정.</x:v>
      </x:c>
      <x:c r="I111" s="83" t="str">
        <x:v>AM-001, RD-006</x:v>
      </x:c>
      <x:c r="J111" s="83" t="str">
        <x:v>부분 구현 확인</x:v>
      </x:c>
      <x:c r="K111" s="84" t="n">
        <x:v>0.55</x:v>
      </x:c>
      <x:c r="L111" s="83" t="str">
        <x:v>-30%p (보고-코드)</x:v>
      </x:c>
      <x:c r="M111" s="83" t="str">
        <x:v>MelsecNet Open/Read/Write/Readback/Timeout/Retry/오류/재시작 회귀시험 PASS</x:v>
      </x:c>
      <x:c r="N111" s="83" t="str">
        <x:v>실제 PLC 메모리맵·스캔주기·노이즈 환경 미검증</x:v>
      </x:c>
      <x:c r="O111" s="83" t="str">
        <x:v>코드완성→단위시험→통합/실장비 검증</x:v>
      </x:c>
      <x:c r="P111" s="83" t="str">
        <x:v>03-01, 02-01, 04-03</x:v>
      </x:c>
      <x:c r="Q111" s="83" t="str">
        <x:v>E-PLC</x:v>
      </x:c>
      <x:c r="R111" s="83" t="str">
        <x:f>IF(COUNTIF($A$6:$A$125,A111)=1,"정상","중복")</x:f>
        <x:v>정상</x:v>
      </x:c>
      <x:c r="S111" s="83" t="str">
        <x:f>IF(AND(A111&gt;=1,A111&lt;=120),"정상","범위 오류")</x:f>
        <x:v>정상</x:v>
      </x:c>
    </x:row>
    <x:row r="112" ht="42" customHeight="1">
      <x:c r="A112" s="83" t="n">
        <x:v>107</x:v>
      </x:c>
      <x:c r="B112" s="83" t="str">
        <x:v>기능</x:v>
      </x:c>
      <x:c r="C112" s="83" t="str">
        <x:v>Sequence Status 관련 Melsec 쓰기 구현</x:v>
      </x:c>
      <x:c r="D112" s="83" t="str">
        <x:v>Ready/Busy/Complete/Error, Process Result 및 Stage/Vision Handshake 신호 읽기·쓰기</x:v>
      </x:c>
      <x:c r="E112" s="84" t="n">
        <x:v>0.1</x:v>
      </x:c>
      <x:c r="F112" s="83" t="str">
        <x:v>예정</x:v>
      </x:c>
      <x:c r="G112" s="83" t="str">
        <x:v>P1</x:v>
      </x:c>
      <x:c r="H112" s="83" t="str">
        <x:v>초기 개발 단계. 관련 사양 확정 후 우선순위에 따라 순차 개발 예정.</x:v>
      </x:c>
      <x:c r="I112" s="83" t="str"/>
      <x:c r="J112" s="83" t="str">
        <x:v>부분 구현 확인</x:v>
      </x:c>
      <x:c r="K112" s="84" t="n">
        <x:v>0.62</x:v>
      </x:c>
      <x:c r="L112" s="83" t="str">
        <x:v>-52%p (보고-코드)</x:v>
      </x:c>
      <x:c r="M112" s="83" t="str">
        <x:v>MelsecNet Open/Read/Write/Readback/Timeout/Retry/오류/재시작 회귀시험 PASS</x:v>
      </x:c>
      <x:c r="N112" s="83" t="str">
        <x:v>실제 PLC 메모리맵·스캔주기·노이즈 환경 미검증</x:v>
      </x:c>
      <x:c r="O112" s="83" t="str">
        <x:v>코드완성→단위시험→통합/실장비 검증</x:v>
      </x:c>
      <x:c r="P112" s="83" t="str">
        <x:v>11-08</x:v>
      </x:c>
      <x:c r="Q112" s="83" t="str">
        <x:v>E-PLC</x:v>
      </x:c>
      <x:c r="R112" s="83" t="str">
        <x:f>IF(COUNTIF($A$6:$A$125,A112)=1,"정상","중복")</x:f>
        <x:v>정상</x:v>
      </x:c>
      <x:c r="S112" s="83" t="str">
        <x:f>IF(AND(A112&gt;=1,A112&lt;=120),"정상","범위 오류")</x:f>
        <x:v>정상</x:v>
      </x:c>
    </x:row>
    <x:row r="113" ht="42" customHeight="1">
      <x:c r="A113" s="83" t="n">
        <x:v>108</x:v>
      </x:c>
      <x:c r="B113" s="83" t="str">
        <x:v>기능</x:v>
      </x:c>
      <x:c r="C113" s="83" t="str">
        <x:v>CIM - 가공 결과 보고 구현</x:v>
      </x:c>
      <x:c r="D113" s="83" t="str">
        <x:v>가공 결과를 CIM에 보고하는 기능 구현</x:v>
      </x:c>
      <x:c r="E113" s="84" t="n">
        <x:v>0.1</x:v>
      </x:c>
      <x:c r="F113" s="83" t="str">
        <x:v>예정</x:v>
      </x:c>
      <x:c r="G113" s="83" t="str">
        <x:v>P1</x:v>
      </x:c>
      <x:c r="H113" s="83" t="str">
        <x:v>초기 개발 단계. 관련 사양 확정 후 우선순위에 따라 순차 개발 예정.</x:v>
      </x:c>
      <x:c r="I113" s="83" t="str">
        <x:v>AM-003</x:v>
      </x:c>
      <x:c r="J113" s="83" t="str">
        <x:v>직접 구현 근거 없음</x:v>
      </x:c>
      <x:c r="K113" s="84" t="n">
        <x:v>0.05</x:v>
      </x:c>
      <x:c r="L113" s="83" t="str">
        <x:v>+5%p (보고-코드)</x:v>
      </x:c>
      <x:c r="M113" s="83" t="str">
        <x:v>CIM NAME/PPID 필드와 APC 화면 문구만 확인</x:v>
      </x:c>
      <x:c r="N113" s="83" t="str">
        <x:v>CIM 연결·보고·응답·재전송 구현 근거 없음</x:v>
      </x:c>
      <x:c r="O113" s="83" t="str">
        <x:v>코드완성→단위시험→통합/실장비 검증</x:v>
      </x:c>
      <x:c r="P113" s="83" t="str">
        <x:v>03-02</x:v>
      </x:c>
      <x:c r="Q113" s="83" t="str">
        <x:v>E-NO-CIM</x:v>
      </x:c>
      <x:c r="R113" s="83" t="str">
        <x:f>IF(COUNTIF($A$6:$A$125,A113)=1,"정상","중복")</x:f>
        <x:v>정상</x:v>
      </x:c>
      <x:c r="S113" s="83" t="str">
        <x:f>IF(AND(A113&gt;=1,A113&lt;=120),"정상","범위 오류")</x:f>
        <x:v>정상</x:v>
      </x:c>
    </x:row>
    <x:row r="114" ht="42" customHeight="1">
      <x:c r="A114" s="83" t="n">
        <x:v>109</x:v>
      </x:c>
      <x:c r="B114" s="83" t="str">
        <x:v>기능</x:v>
      </x:c>
      <x:c r="C114" s="83" t="str">
        <x:v>CIM - Alarm 정보 보고 구현</x:v>
      </x:c>
      <x:c r="D114" s="83" t="str">
        <x:v>Alarm 정보를 CIM에 보고하는 기능 구현</x:v>
      </x:c>
      <x:c r="E114" s="84" t="n">
        <x:v>0.1</x:v>
      </x:c>
      <x:c r="F114" s="83" t="str">
        <x:v>예정</x:v>
      </x:c>
      <x:c r="G114" s="83" t="str">
        <x:v>P1</x:v>
      </x:c>
      <x:c r="H114" s="83" t="str">
        <x:v>초기 개발 단계. 관련 사양 확정 후 우선순위에 따라 순차 개발 예정.</x:v>
      </x:c>
      <x:c r="I114" s="83" t="str">
        <x:v>AM-003</x:v>
      </x:c>
      <x:c r="J114" s="83" t="str">
        <x:v>직접 구현 근거 없음</x:v>
      </x:c>
      <x:c r="K114" s="84" t="n">
        <x:v>0.05</x:v>
      </x:c>
      <x:c r="L114" s="83" t="str">
        <x:v>+5%p (보고-코드)</x:v>
      </x:c>
      <x:c r="M114" s="83" t="str">
        <x:v>CIM NAME/PPID 필드와 APC 화면 문구만 확인</x:v>
      </x:c>
      <x:c r="N114" s="83" t="str">
        <x:v>CIM 연결·보고·응답·재전송 구현 근거 없음</x:v>
      </x:c>
      <x:c r="O114" s="83" t="str">
        <x:v>코드완성→단위시험→통합/실장비 검증</x:v>
      </x:c>
      <x:c r="P114" s="83" t="str">
        <x:v>03-02</x:v>
      </x:c>
      <x:c r="Q114" s="83" t="str">
        <x:v>E-NO-CIM</x:v>
      </x:c>
      <x:c r="R114" s="83" t="str">
        <x:f>IF(COUNTIF($A$6:$A$125,A114)=1,"정상","중복")</x:f>
        <x:v>정상</x:v>
      </x:c>
      <x:c r="S114" s="83" t="str">
        <x:f>IF(AND(A114&gt;=1,A114&lt;=120),"정상","범위 오류")</x:f>
        <x:v>정상</x:v>
      </x:c>
    </x:row>
    <x:row r="115" ht="42" customHeight="1">
      <x:c r="A115" s="83" t="n">
        <x:v>110</x:v>
      </x:c>
      <x:c r="B115" s="83" t="str">
        <x:v>기능</x:v>
      </x:c>
      <x:c r="C115" s="83" t="str">
        <x:v>CIM - Recipe 정보 보고 구현</x:v>
      </x:c>
      <x:c r="D115" s="83" t="str">
        <x:v>Recipe 정보를 CIM에 보고하는 기능 구현</x:v>
      </x:c>
      <x:c r="E115" s="84" t="n">
        <x:v>0.1</x:v>
      </x:c>
      <x:c r="F115" s="83" t="str">
        <x:v>예정</x:v>
      </x:c>
      <x:c r="G115" s="83" t="str">
        <x:v>P1</x:v>
      </x:c>
      <x:c r="H115" s="83" t="str">
        <x:v>초기 개발 단계. 관련 사양 확정 후 우선순위에 따라 순차 개발 예정.</x:v>
      </x:c>
      <x:c r="I115" s="83" t="str">
        <x:v>AM-003, RD-006</x:v>
      </x:c>
      <x:c r="J115" s="83" t="str">
        <x:v>직접 구현 근거 없음</x:v>
      </x:c>
      <x:c r="K115" s="84" t="n">
        <x:v>0.08</x:v>
      </x:c>
      <x:c r="L115" s="83" t="str">
        <x:v>+2%p (보고-코드)</x:v>
      </x:c>
      <x:c r="M115" s="83" t="str">
        <x:v>CIM NAME/PPID 필드와 APC 화면 문구만 확인</x:v>
      </x:c>
      <x:c r="N115" s="83" t="str">
        <x:v>CIM 연결·보고·응답·재전송 구현 근거 없음</x:v>
      </x:c>
      <x:c r="O115" s="83" t="str">
        <x:v>코드완성→단위시험→통합/실장비 검증</x:v>
      </x:c>
      <x:c r="P115" s="83" t="str">
        <x:v>03-02, 04-03</x:v>
      </x:c>
      <x:c r="Q115" s="83" t="str">
        <x:v>E-NO-CIM</x:v>
      </x:c>
      <x:c r="R115" s="83" t="str">
        <x:f>IF(COUNTIF($A$6:$A$125,A115)=1,"정상","중복")</x:f>
        <x:v>정상</x:v>
      </x:c>
      <x:c r="S115" s="83" t="str">
        <x:f>IF(AND(A115&gt;=1,A115&lt;=120),"정상","범위 오류")</x:f>
        <x:v>정상</x:v>
      </x:c>
    </x:row>
    <x:row r="116" ht="42" customHeight="1">
      <x:c r="A116" s="83" t="n">
        <x:v>111</x:v>
      </x:c>
      <x:c r="B116" s="83" t="str">
        <x:v>기능</x:v>
      </x:c>
      <x:c r="C116" s="83" t="str">
        <x:v>CIM - Time 정보 보고 구현</x:v>
      </x:c>
      <x:c r="D116" s="83" t="str">
        <x:v>Time 정보를 CIM에 보고하는 기능 구현</x:v>
      </x:c>
      <x:c r="E116" s="84" t="n">
        <x:v>0.2</x:v>
      </x:c>
      <x:c r="F116" s="83" t="str">
        <x:v>예정</x:v>
      </x:c>
      <x:c r="G116" s="83" t="str">
        <x:v>P1</x:v>
      </x:c>
      <x:c r="H116" s="83" t="str">
        <x:v>초기 개발 단계. 관련 사양 확정 후 우선순위에 따라 순차 개발 예정.</x:v>
      </x:c>
      <x:c r="I116" s="83" t="str">
        <x:v>AM-003</x:v>
      </x:c>
      <x:c r="J116" s="83" t="str">
        <x:v>직접 구현 근거 없음</x:v>
      </x:c>
      <x:c r="K116" s="84" t="n">
        <x:v>0.08</x:v>
      </x:c>
      <x:c r="L116" s="83" t="str">
        <x:v>+12%p (보고-코드)</x:v>
      </x:c>
      <x:c r="M116" s="83" t="str">
        <x:v>CIM NAME/PPID 필드와 APC 화면 문구만 확인</x:v>
      </x:c>
      <x:c r="N116" s="83" t="str">
        <x:v>CIM 연결·보고·응답·재전송 구현 근거 없음</x:v>
      </x:c>
      <x:c r="O116" s="83" t="str">
        <x:v>코드완성→단위시험→통합/실장비 검증</x:v>
      </x:c>
      <x:c r="P116" s="83" t="str">
        <x:v>03-02</x:v>
      </x:c>
      <x:c r="Q116" s="83" t="str">
        <x:v>E-NO-CIM</x:v>
      </x:c>
      <x:c r="R116" s="83" t="str">
        <x:f>IF(COUNTIF($A$6:$A$125,A116)=1,"정상","중복")</x:f>
        <x:v>정상</x:v>
      </x:c>
      <x:c r="S116" s="83" t="str">
        <x:f>IF(AND(A116&gt;=1,A116&lt;=120),"정상","범위 오류")</x:f>
        <x:v>정상</x:v>
      </x:c>
    </x:row>
    <x:row r="117" ht="42" customHeight="1">
      <x:c r="A117" s="83" t="n">
        <x:v>112</x:v>
      </x:c>
      <x:c r="B117" s="83" t="str">
        <x:v>기능</x:v>
      </x:c>
      <x:c r="C117" s="83" t="str">
        <x:v>APC Offset 적용 구현</x:v>
      </x:c>
      <x:c r="D117" s="83" t="str">
        <x:v>CIM/shared folder에서 APC 파일을 읽어 보정값으로 적용하는 기능 구현</x:v>
      </x:c>
      <x:c r="E117" s="84" t="n">
        <x:v>0.2</x:v>
      </x:c>
      <x:c r="F117" s="83" t="str">
        <x:v>예정</x:v>
      </x:c>
      <x:c r="G117" s="83" t="str">
        <x:v>P1</x:v>
      </x:c>
      <x:c r="H117" s="83" t="str">
        <x:v>초기 개발 단계. 관련 사양 확정 후 우선순위에 따라 순차 개발 예정.</x:v>
      </x:c>
      <x:c r="I117" s="83" t="str">
        <x:v>AM-012, AM-016</x:v>
      </x:c>
      <x:c r="J117" s="83" t="str">
        <x:v>UI/설정/기초 로직만 확인</x:v>
      </x:c>
      <x:c r="K117" s="84" t="n">
        <x:v>0.15</x:v>
      </x:c>
      <x:c r="L117" s="83" t="str">
        <x:v>+5%p (보고-코드)</x:v>
      </x:c>
      <x:c r="M117" s="83" t="str">
        <x:v>APC/ICR 상태 카드와 입력 설명 표시</x:v>
      </x:c>
      <x:c r="N117" s="83" t="str">
        <x:v>파일 다운로드·유효기간·Recipe 일치·Offset 적용 로직 없음</x:v>
      </x:c>
      <x:c r="O117" s="83" t="str">
        <x:v>코드완성→단위시험→통합/실장비 검증</x:v>
      </x:c>
      <x:c r="P117" s="83" t="str">
        <x:v>09-04, 07-05, 02-04, 04-06</x:v>
      </x:c>
      <x:c r="Q117" s="83" t="str">
        <x:v>E-APC-PLACEHOLDER</x:v>
      </x:c>
      <x:c r="R117" s="83" t="str">
        <x:f>IF(COUNTIF($A$6:$A$125,A117)=1,"정상","중복")</x:f>
        <x:v>정상</x:v>
      </x:c>
      <x:c r="S117" s="83" t="str">
        <x:f>IF(AND(A117&gt;=1,A117&lt;=120),"정상","범위 오류")</x:f>
        <x:v>정상</x:v>
      </x:c>
    </x:row>
    <x:row r="118" ht="42" customHeight="1">
      <x:c r="A118" s="83" t="n">
        <x:v>113</x:v>
      </x:c>
      <x:c r="B118" s="83" t="str">
        <x:v>기능</x:v>
      </x:c>
      <x:c r="C118" s="83" t="str">
        <x:v>Distortion Key 6개 - 데이터 모델 반영 구현</x:v>
      </x:c>
      <x:c r="D118" s="83" t="str">
        <x:v>6개 Distortion Key 위치와 결과를 데이터 모델에 반영</x:v>
      </x:c>
      <x:c r="E118" s="84" t="n">
        <x:v>0.2</x:v>
      </x:c>
      <x:c r="F118" s="83" t="str">
        <x:v>예정</x:v>
      </x:c>
      <x:c r="G118" s="83" t="str">
        <x:v>P1</x:v>
      </x:c>
      <x:c r="H118" s="83" t="str">
        <x:v>초기 개발 단계. 관련 사양 확정 후 우선순위에 따라 순차 개발 예정.</x:v>
      </x:c>
      <x:c r="I118" s="83" t="str">
        <x:v>AM-005, MM-006, RD-007</x:v>
      </x:c>
      <x:c r="J118" s="83" t="str">
        <x:v>부분 구현 확인</x:v>
      </x:c>
      <x:c r="K118" s="84" t="n">
        <x:v>0.72</x:v>
      </x:c>
      <x:c r="L118" s="83" t="str">
        <x:v>-52%p (보고-코드)</x:v>
      </x:c>
      <x:c r="M118" s="83" t="str">
        <x:v>6개 Distortion Key Recipe 모델·Preview/UI 표시 확인</x:v>
      </x:c>
      <x:c r="N118" s="83" t="str">
        <x:v>측정→Field correction 생성·적용 순서·검증 미완</x:v>
      </x:c>
      <x:c r="O118" s="83" t="str">
        <x:v>코드완성→단위시험→통합/실장비 검증</x:v>
      </x:c>
      <x:c r="P118" s="83" t="str">
        <x:v>07-01, 08-04, 07-08, 07-04, 04-02</x:v>
      </x:c>
      <x:c r="Q118" s="83" t="str">
        <x:v>E-DISTORTION</x:v>
      </x:c>
      <x:c r="R118" s="83" t="str">
        <x:f>IF(COUNTIF($A$6:$A$125,A118)=1,"정상","중복")</x:f>
        <x:v>정상</x:v>
      </x:c>
      <x:c r="S118" s="83" t="str">
        <x:f>IF(AND(A118&gt;=1,A118&lt;=120),"정상","범위 오류")</x:f>
        <x:v>정상</x:v>
      </x:c>
    </x:row>
    <x:row r="119" ht="42" customHeight="1">
      <x:c r="A119" s="83" t="n">
        <x:v>114</x:v>
      </x:c>
      <x:c r="B119" s="83" t="str">
        <x:v>기능</x:v>
      </x:c>
      <x:c r="C119" s="83" t="str">
        <x:v>Distortion Key 6개 - UI 반영 구현</x:v>
      </x:c>
      <x:c r="D119" s="83" t="str">
        <x:v>6개 Distortion Key 위치와 결과를 UI에 반영</x:v>
      </x:c>
      <x:c r="E119" s="84" t="n">
        <x:v>0.8</x:v>
      </x:c>
      <x:c r="F119" s="83" t="str">
        <x:v>진행 중</x:v>
      </x:c>
      <x:c r="G119" s="83" t="str">
        <x:v>P3</x:v>
      </x:c>
      <x:c r="H119" s="83" t="str">
        <x:v>주요 기능 구현 완료. 장비 연동 및 통합 시험을 통해 안정화 예정.</x:v>
      </x:c>
      <x:c r="I119" s="83" t="str">
        <x:v>AM-005</x:v>
      </x:c>
      <x:c r="J119" s="83" t="str">
        <x:v>부분 구현 확인</x:v>
      </x:c>
      <x:c r="K119" s="84" t="n">
        <x:v>0.72</x:v>
      </x:c>
      <x:c r="L119" s="83" t="str">
        <x:v>+8%p (보고-코드)</x:v>
      </x:c>
      <x:c r="M119" s="83" t="str">
        <x:v>6개 Distortion Key Recipe 모델·Preview/UI 표시 확인</x:v>
      </x:c>
      <x:c r="N119" s="83" t="str">
        <x:v>측정→Field correction 생성·적용 순서·검증 미완</x:v>
      </x:c>
      <x:c r="O119" s="83" t="str">
        <x:v>코드완성→단위시험→통합/실장비 검증</x:v>
      </x:c>
      <x:c r="P119" s="83" t="str">
        <x:v>07-01, 08-04</x:v>
      </x:c>
      <x:c r="Q119" s="83" t="str">
        <x:v>E-DISTORTION</x:v>
      </x:c>
      <x:c r="R119" s="83" t="str">
        <x:f>IF(COUNTIF($A$6:$A$125,A119)=1,"정상","중복")</x:f>
        <x:v>정상</x:v>
      </x:c>
      <x:c r="S119" s="83" t="str">
        <x:f>IF(AND(A119&gt;=1,A119&lt;=120),"정상","범위 오류")</x:f>
        <x:v>정상</x:v>
      </x:c>
    </x:row>
    <x:row r="120" ht="42" customHeight="1">
      <x:c r="A120" s="83" t="n">
        <x:v>115</x:v>
      </x:c>
      <x:c r="B120" s="83" t="str">
        <x:v>기능</x:v>
      </x:c>
      <x:c r="C120" s="83" t="str">
        <x:v>장비별 Simulation Mode 구현</x:v>
      </x:c>
      <x:c r="D120" s="83" t="str">
        <x:v>통신 장비별 Simulation Mode 구현</x:v>
      </x:c>
      <x:c r="E120" s="84" t="n">
        <x:v>0.9</x:v>
      </x:c>
      <x:c r="F120" s="83" t="str">
        <x:v>완료</x:v>
      </x:c>
      <x:c r="G120" s="83" t="str">
        <x:v>P3</x:v>
      </x:c>
      <x:c r="H120" s="83" t="str">
        <x:v>주요 기능 구현 완료. 운영 조건 및 실장비 최종 확인 예정.</x:v>
      </x:c>
      <x:c r="I120" s="83" t="str">
        <x:v>AM-006</x:v>
      </x:c>
      <x:c r="J120" s="83" t="str">
        <x:v>구현·빌드·회귀시험 확인</x:v>
      </x:c>
      <x:c r="K120" s="84" t="n">
        <x:v>0.88</x:v>
      </x:c>
      <x:c r="L120" s="83" t="str">
        <x:v>+2%p (보고-코드)</x:v>
      </x:c>
      <x:c r="M120" s="83" t="str">
        <x:v>Core/WPF 회귀 실행 PASS, Build 경고 0·오류 0</x:v>
      </x:c>
      <x:c r="N120" s="83" t="str">
        <x:v>Simulation/Mock 기반이며 실장비·장시간·Tact 검증 아님</x:v>
      </x:c>
      <x:c r="O120" s="83" t="str">
        <x:v>회귀 PASS 유지 + 실장비/통합 검증</x:v>
      </x:c>
      <x:c r="P120" s="83" t="str">
        <x:v>03-07, 09-05</x:v>
      </x:c>
      <x:c r="Q120" s="83" t="str">
        <x:v>E-REGRESSION</x:v>
      </x:c>
      <x:c r="R120" s="83" t="str">
        <x:f>IF(COUNTIF($A$6:$A$125,A120)=1,"정상","중복")</x:f>
        <x:v>정상</x:v>
      </x:c>
      <x:c r="S120" s="83" t="str">
        <x:f>IF(AND(A120&gt;=1,A120&lt;=120),"정상","범위 오류")</x:f>
        <x:v>정상</x:v>
      </x:c>
    </x:row>
    <x:row r="121" ht="42" customHeight="1">
      <x:c r="A121" s="83" t="n">
        <x:v>116</x:v>
      </x:c>
      <x:c r="B121" s="83" t="str">
        <x:v>기능</x:v>
      </x:c>
      <x:c r="C121" s="83" t="str">
        <x:v>Automation1 Script 생성 기능 구현</x:v>
      </x:c>
      <x:c r="D121" s="83" t="str">
        <x:v>Path Model을 Automation1 Script로 변환하는 기능 구현</x:v>
      </x:c>
      <x:c r="E121" s="84" t="n">
        <x:v>0.85</x:v>
      </x:c>
      <x:c r="F121" s="83" t="str">
        <x:v>진행 중</x:v>
      </x:c>
      <x:c r="G121" s="83" t="str">
        <x:v>P3</x:v>
      </x:c>
      <x:c r="H121" s="83" t="str">
        <x:v>주요 기능 구현 완료. 장비 연동 및 통합 시험을 통해 안정화 예정.</x:v>
      </x:c>
      <x:c r="I121" s="83" t="str">
        <x:v>AM-011, RD-004, SS-003</x:v>
      </x:c>
      <x:c r="J121" s="83" t="str">
        <x:v>구현·빌드·회귀시험 확인</x:v>
      </x:c>
      <x:c r="K121" s="84" t="n">
        <x:v>0.88</x:v>
      </x:c>
      <x:c r="L121" s="83" t="str">
        <x:v>-3%p (보고-코드)</x:v>
      </x:c>
      <x:c r="M121" s="83" t="str">
        <x:v>Head별 Script, GX/GY, Encoder/AUX wait, PSO/ShotDelay 생성과 Golden 회귀 PASS</x:v>
      </x:c>
      <x:c r="N121" s="83" t="str">
        <x:v>Lead-in/out 명시 규칙·실제 8 Head GL4 동기 검증 미수행</x:v>
      </x:c>
      <x:c r="O121" s="83" t="str">
        <x:v>회귀 PASS 유지 + 실장비/통합 검증</x:v>
      </x:c>
      <x:c r="P121" s="83" t="str">
        <x:v>05-02, 08-06, 04-02, 09-02, 08-02, 08-04</x:v>
      </x:c>
      <x:c r="Q121" s="83" t="str">
        <x:v>E-SCRIPT</x:v>
      </x:c>
      <x:c r="R121" s="83" t="str">
        <x:f>IF(COUNTIF($A$6:$A$125,A121)=1,"정상","중복")</x:f>
        <x:v>정상</x:v>
      </x:c>
      <x:c r="S121" s="83" t="str">
        <x:f>IF(AND(A121&gt;=1,A121&lt;=120),"정상","범위 오류")</x:f>
        <x:v>정상</x:v>
      </x:c>
    </x:row>
    <x:row r="122" ht="42" customHeight="1">
      <x:c r="A122" s="83" t="n">
        <x:v>117</x:v>
      </x:c>
      <x:c r="B122" s="83" t="str">
        <x:v>기능</x:v>
      </x:c>
      <x:c r="C122" s="83" t="str">
        <x:v>좌표 연동 구현</x:v>
      </x:c>
      <x:c r="D122" s="83" t="str">
        <x:v>Design -&gt; Stage -&gt; Scanner GX/GY -&gt; Review 좌표 연동 구현</x:v>
      </x:c>
      <x:c r="E122" s="84" t="n">
        <x:v>0.2</x:v>
      </x:c>
      <x:c r="F122" s="83" t="str">
        <x:v>예정</x:v>
      </x:c>
      <x:c r="G122" s="83" t="str">
        <x:v>P1</x:v>
      </x:c>
      <x:c r="H122" s="83" t="str">
        <x:v>초기 개발 단계. 관련 사양 확정 후 우선순위에 따라 순차 개발 예정.</x:v>
      </x:c>
      <x:c r="I122" s="83" t="str">
        <x:v>AM-011, RD-003, RD-005, RD-007, SS-003</x:v>
      </x:c>
      <x:c r="J122" s="83" t="str">
        <x:v>부분 구현 확인</x:v>
      </x:c>
      <x:c r="K122" s="84" t="n">
        <x:v>0.76</x:v>
      </x:c>
      <x:c r="L122" s="83" t="str">
        <x:v>-56%p (보고-코드)</x:v>
      </x:c>
      <x:c r="M122" s="83" t="str">
        <x:v>Cell/Hole 생성·Head 배분·Default Offset·홀짝 GX/GY 방향·StageY 변환 확인</x:v>
      </x:c>
      <x:c r="N122" s="83" t="str">
        <x:v>Virtual Origin·Camera-to-Global·최종 설치 Offset·누적 보정 순서 미확정</x:v>
      </x:c>
      <x:c r="O122" s="83" t="str">
        <x:v>코드완성→단위시험→통합/실장비 검증</x:v>
      </x:c>
      <x:c r="P122" s="83" t="str">
        <x:v>05-02, 08-06, 04-02, 08-05, 07-01, 08-02, 08-04</x:v>
      </x:c>
      <x:c r="Q122" s="83" t="str">
        <x:v>E-COORD</x:v>
      </x:c>
      <x:c r="R122" s="83" t="str">
        <x:f>IF(COUNTIF($A$6:$A$125,A122)=1,"정상","중복")</x:f>
        <x:v>정상</x:v>
      </x:c>
      <x:c r="S122" s="83" t="str">
        <x:f>IF(AND(A122&gt;=1,A122&lt;=120),"정상","범위 오류")</x:f>
        <x:v>정상</x:v>
      </x:c>
    </x:row>
    <x:row r="123" ht="42" customHeight="1">
      <x:c r="A123" s="83" t="n">
        <x:v>118</x:v>
      </x:c>
      <x:c r="B123" s="83" t="str">
        <x:v>기능</x:v>
      </x:c>
      <x:c r="C123" s="83" t="str">
        <x:v>Auto Job Change - Recipe 자동 갱신 구현</x:v>
      </x:c>
      <x:c r="D123" s="83" t="str">
        <x:v>Model 또는 PPID 변경 시 Recipe 자동 갱신 구현</x:v>
      </x:c>
      <x:c r="E123" s="84" t="n">
        <x:v>0.1</x:v>
      </x:c>
      <x:c r="F123" s="83" t="str">
        <x:v>예정</x:v>
      </x:c>
      <x:c r="G123" s="83" t="str">
        <x:v>P1</x:v>
      </x:c>
      <x:c r="H123" s="83" t="str">
        <x:v>초기 개발 단계. 관련 사양 확정 후 우선순위에 따라 순차 개발 예정.</x:v>
      </x:c>
      <x:c r="I123" s="83" t="str">
        <x:v>AM-014, RD-006</x:v>
      </x:c>
      <x:c r="J123" s="83" t="str">
        <x:v>직접 구현 근거 없음</x:v>
      </x:c>
      <x:c r="K123" s="84" t="n">
        <x:v>0.05</x:v>
      </x:c>
      <x:c r="L123" s="83" t="str">
        <x:v>+5%p (보고-코드)</x:v>
      </x:c>
      <x:c r="M123" s="83" t="str">
        <x:v>Model/PPID 필드는 존재</x:v>
      </x:c>
      <x:c r="N123" s="83" t="str">
        <x:v>Recipe/Stage/Vision 동시 갱신 Sequence 근거 없음</x:v>
      </x:c>
      <x:c r="O123" s="83" t="str">
        <x:v>코드완성→단위시험→통합/실장비 검증</x:v>
      </x:c>
      <x:c r="P123" s="83" t="str">
        <x:v>05-05, 04-03</x:v>
      </x:c>
      <x:c r="Q123" s="83" t="str">
        <x:v>E-NO-JOBCHANGE</x:v>
      </x:c>
      <x:c r="R123" s="83" t="str">
        <x:f>IF(COUNTIF($A$6:$A$125,A123)=1,"정상","중복")</x:f>
        <x:v>정상</x:v>
      </x:c>
      <x:c r="S123" s="83" t="str">
        <x:f>IF(AND(A123&gt;=1,A123&lt;=120),"정상","범위 오류")</x:f>
        <x:v>정상</x:v>
      </x:c>
    </x:row>
    <x:row r="124" ht="42" customHeight="1">
      <x:c r="A124" s="83" t="n">
        <x:v>119</x:v>
      </x:c>
      <x:c r="B124" s="83" t="str">
        <x:v>기능</x:v>
      </x:c>
      <x:c r="C124" s="83" t="str">
        <x:v>Auto Job Change - Stage 자동 갱신 구현</x:v>
      </x:c>
      <x:c r="D124" s="83" t="str">
        <x:v>Model 또는 PPID 변경 시 Stage 자동 갱신 구현</x:v>
      </x:c>
      <x:c r="E124" s="84" t="n">
        <x:v>0.1</x:v>
      </x:c>
      <x:c r="F124" s="83" t="str">
        <x:v>예정</x:v>
      </x:c>
      <x:c r="G124" s="83" t="str">
        <x:v>P1</x:v>
      </x:c>
      <x:c r="H124" s="83" t="str">
        <x:v>초기 개발 단계. 관련 사양 확정 후 우선순위에 따라 순차 개발 예정.</x:v>
      </x:c>
      <x:c r="I124" s="83" t="str">
        <x:v>AM-014</x:v>
      </x:c>
      <x:c r="J124" s="83" t="str">
        <x:v>직접 구현 근거 없음</x:v>
      </x:c>
      <x:c r="K124" s="84" t="n">
        <x:v>0.05</x:v>
      </x:c>
      <x:c r="L124" s="83" t="str">
        <x:v>+5%p (보고-코드)</x:v>
      </x:c>
      <x:c r="M124" s="83" t="str">
        <x:v>Model/PPID 필드는 존재</x:v>
      </x:c>
      <x:c r="N124" s="83" t="str">
        <x:v>Recipe/Stage/Vision 동시 갱신 Sequence 근거 없음</x:v>
      </x:c>
      <x:c r="O124" s="83" t="str">
        <x:v>코드완성→단위시험→통합/실장비 검증</x:v>
      </x:c>
      <x:c r="P124" s="83" t="str">
        <x:v>05-05</x:v>
      </x:c>
      <x:c r="Q124" s="83" t="str">
        <x:v>E-NO-JOBCHANGE</x:v>
      </x:c>
      <x:c r="R124" s="83" t="str">
        <x:f>IF(COUNTIF($A$6:$A$125,A124)=1,"정상","중복")</x:f>
        <x:v>정상</x:v>
      </x:c>
      <x:c r="S124" s="83" t="str">
        <x:f>IF(AND(A124&gt;=1,A124&lt;=120),"정상","범위 오류")</x:f>
        <x:v>정상</x:v>
      </x:c>
    </x:row>
    <x:row r="125" ht="42" customHeight="1">
      <x:c r="A125" s="83" t="n">
        <x:v>120</x:v>
      </x:c>
      <x:c r="B125" s="83" t="str">
        <x:v>기능</x:v>
      </x:c>
      <x:c r="C125" s="83" t="str">
        <x:v>Auto Job Change - Vision Recipe 자동 갱신 구현</x:v>
      </x:c>
      <x:c r="D125" s="83" t="str">
        <x:v>Model 또는 PPID 변경 시 Vision Recipe 자동 갱신 구현</x:v>
      </x:c>
      <x:c r="E125" s="84" t="n">
        <x:v>0.1</x:v>
      </x:c>
      <x:c r="F125" s="83" t="str">
        <x:v>예정</x:v>
      </x:c>
      <x:c r="G125" s="83" t="str">
        <x:v>P1</x:v>
      </x:c>
      <x:c r="H125" s="83" t="str">
        <x:v>초기 개발 단계. 관련 사양 확정 후 우선순위에 따라 순차 개발 예정.</x:v>
      </x:c>
      <x:c r="I125" s="83" t="str">
        <x:v>AM-014</x:v>
      </x:c>
      <x:c r="J125" s="83" t="str">
        <x:v>직접 구현 근거 없음</x:v>
      </x:c>
      <x:c r="K125" s="84" t="n">
        <x:v>0.05</x:v>
      </x:c>
      <x:c r="L125" s="83" t="str">
        <x:v>+5%p (보고-코드)</x:v>
      </x:c>
      <x:c r="M125" s="83" t="str">
        <x:v>Model/PPID 필드는 존재</x:v>
      </x:c>
      <x:c r="N125" s="83" t="str">
        <x:v>Recipe/Stage/Vision 동시 갱신 Sequence 근거 없음</x:v>
      </x:c>
      <x:c r="O125" s="83" t="str">
        <x:v>코드완성→단위시험→통합/실장비 검증</x:v>
      </x:c>
      <x:c r="P125" s="83" t="str">
        <x:v>05-05</x:v>
      </x:c>
      <x:c r="Q125" s="83" t="str">
        <x:v>E-NO-JOBCHANGE</x:v>
      </x:c>
      <x:c r="R125" s="83" t="str">
        <x:f>IF(COUNTIF($A$6:$A$125,A125)=1,"정상","중복")</x:f>
        <x:v>정상</x:v>
      </x:c>
      <x:c r="S125" s="83" t="str">
        <x:f>IF(AND(A125&gt;=1,A125&lt;=120),"정상","범위 오류")</x:f>
        <x:v>정상</x:v>
      </x:c>
    </x:row>
  </x:sheetData>
  <x:mergeCells>
    <x:mergeCell ref="A1:S1"/>
    <x:mergeCell ref="A2:S2"/>
  </x:mergeCells>
  <x:conditionalFormatting sqref="F6:F125">
    <x:cfRule type="containsText" dxfId="7" priority="1" operator="containsText" text="완료"/>
    <x:cfRule type="containsText" dxfId="8" priority="2" operator="containsText" text="진행 중"/>
    <x:cfRule type="containsText" dxfId="9" priority="3" operator="containsText" text="예정"/>
  </x:conditionalFormatting>
  <x:conditionalFormatting sqref="R6:S125">
    <x:cfRule type="containsText" dxfId="10" priority="4" operator="containsText" text="중복"/>
    <x:cfRule type="containsText" dxfId="11" priority="5" operator="containsText" text="오류"/>
  </x:conditionalFormatting>
  <x:dataValidations count="2">
    <x:dataValidation type="list" sqref="F6:F125">
      <x:formula1>"완료,진행 중,예정"</x:formula1>
    </x:dataValidation>
    <x:dataValidation type="list" sqref="G6:G125">
      <x:formula1>"P1,P2,P3"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3660afc899455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  <x:selection pane="bottomRight" activeCell="C6" sqref="C6"/>
    </x:sheetView>
  </x:sheetViews>
  <x:sheetFormatPr defaultRowHeight="15"/>
  <x:cols>
    <x:col min="1" max="1" width="12" hidden="0" customWidth="1"/>
    <x:col min="2" max="2" width="24" hidden="0" customWidth="1"/>
    <x:col min="3" max="3" width="9" hidden="0" customWidth="1"/>
    <x:col min="4" max="4" width="12" hidden="0" customWidth="1"/>
    <x:col min="5" max="5" width="25" hidden="0" customWidth="1"/>
    <x:col min="6" max="6" width="10" hidden="0" customWidth="1"/>
    <x:col min="7" max="7" width="28" hidden="0" customWidth="1"/>
    <x:col min="8" max="8" width="18" hidden="0" customWidth="1"/>
    <x:col min="9" max="9" width="48" hidden="0" customWidth="1"/>
    <x:col min="10" max="10" width="22" hidden="0" customWidth="1"/>
    <x:col min="11" max="11" width="25" hidden="0" customWidth="1"/>
    <x:col min="12" max="12" width="16" hidden="0" customWidth="1"/>
    <x:col min="13" max="13" width="12" hidden="0" customWidth="1"/>
    <x:col min="14" max="14" width="42" hidden="0" customWidth="1"/>
  </x:cols>
  <x:sheetData>
    <x:row r="1" ht="30" customHeight="1">
      <x:c r="A1" s="62" t="str">
        <x:v>03 고객요구–내부개발–WBS–코드 다대다 매핑</x:v>
      </x:c>
      <x:c r="B1" s="63"/>
      <x:c r="C1" s="63"/>
      <x:c r="D1" s="63"/>
      <x:c r="E1" s="63"/>
      <x:c r="F1" s="63"/>
      <x:c r="G1" s="63"/>
      <x:c r="H1" s="63"/>
      <x:c r="I1" s="63"/>
      <x:c r="J1" s="63"/>
      <x:c r="K1" s="63"/>
      <x:c r="L1" s="63"/>
      <x:c r="M1" s="63"/>
      <x:c r="N1" s="64"/>
    </x:row>
    <x:row r="2" ht="26" customHeight="1">
      <x:c r="A2" s="67" t="str">
        <x:v>행 수 420 | 원본 행을 유지하면서 정규화 WBS와 코드 근거를 다대다 연결</x:v>
      </x:c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</x:row>
    <x:row r="5" ht="30" customHeight="1">
      <x:c r="A5" s="16" t="str">
        <x:v>고객 요구ID</x:v>
      </x:c>
      <x:c r="B5" s="16" t="str">
        <x:v>고객 기능명</x:v>
      </x:c>
      <x:c r="C5" s="16" t="str">
        <x:v>내부 번호</x:v>
      </x:c>
      <x:c r="D5" s="16" t="str">
        <x:v>내부 분류</x:v>
      </x:c>
      <x:c r="E5" s="16" t="str">
        <x:v>내부 기능명</x:v>
      </x:c>
      <x:c r="F5" s="16" t="str">
        <x:v>WBS ID</x:v>
      </x:c>
      <x:c r="G5" s="16" t="str">
        <x:v>WBS Item</x:v>
      </x:c>
      <x:c r="H5" s="16" t="str">
        <x:v>코드근거 ID</x:v>
      </x:c>
      <x:c r="I5" s="16" t="str">
        <x:v>파일 경로</x:v>
      </x:c>
      <x:c r="J5" s="16" t="str">
        <x:v>클래스</x:v>
      </x:c>
      <x:c r="K5" s="16" t="str">
        <x:v>메서드/이벤트</x:v>
      </x:c>
      <x:c r="L5" s="16" t="str">
        <x:v>반영상태</x:v>
      </x:c>
      <x:c r="M5" s="16" t="str">
        <x:v>코드검증률</x:v>
      </x:c>
      <x:c r="N5" s="16" t="str">
        <x:v>Gap/판단</x:v>
      </x:c>
    </x:row>
    <x:row r="6" ht="42" customHeight="1">
      <x:c r="A6" s="83" t="str">
        <x:v>AM-001</x:v>
      </x:c>
      <x:c r="B6" s="83" t="str">
        <x:v>Glass 정보 모니터링</x:v>
      </x:c>
      <x:c r="C6" s="83" t="n">
        <x:v>24</x:v>
      </x:c>
      <x:c r="D6" s="83" t="str">
        <x:v>통신</x:v>
      </x:c>
      <x:c r="E6" s="83" t="str">
        <x:v>PLC(Melsec) 통신 기능 구현</x:v>
      </x:c>
      <x:c r="F6" s="83" t="str">
        <x:v>03-01</x:v>
      </x:c>
      <x:c r="G6" s="83" t="str">
        <x:v>PLC/Melsec Driver·Map</x:v>
      </x:c>
      <x:c r="H6" s="83" t="str">
        <x:v>E-PLC</x:v>
      </x:c>
      <x:c r="I6" s="83" t="str">
        <x:v>Drilling.Common/Interface/Melsec/CMelsec.cs</x:v>
      </x:c>
      <x:c r="J6" s="83" t="str">
        <x:v>CMelsec</x:v>
      </x:c>
      <x:c r="K6" s="83" t="str">
        <x:v>QueueWriteBit</x:v>
      </x:c>
      <x:c r="L6" s="83" t="str">
        <x:v>부분 반영</x:v>
      </x:c>
      <x:c r="M6" s="84" t="n">
        <x:v>0.78</x:v>
      </x:c>
      <x:c r="N6" s="83" t="str">
        <x:v>일부 구현은 확인되나 실장비 연동, Timeout/Alarm/Recovery, 저장·복원 또는 고객 수용시험 증빙이 부족</x:v>
      </x:c>
    </x:row>
    <x:row r="7" ht="42" customHeight="1">
      <x:c r="A7" s="83" t="str">
        <x:v>AM-001</x:v>
      </x:c>
      <x:c r="B7" s="83" t="str">
        <x:v>Glass 정보 모니터링</x:v>
      </x:c>
      <x:c r="C7" s="83" t="n">
        <x:v>24</x:v>
      </x:c>
      <x:c r="D7" s="83" t="str">
        <x:v>통신</x:v>
      </x:c>
      <x:c r="E7" s="83" t="str">
        <x:v>PLC(Melsec) 통신 기능 구현</x:v>
      </x:c>
      <x:c r="F7" s="83" t="str">
        <x:v>02-01</x:v>
      </x:c>
      <x:c r="G7" s="83" t="str">
        <x:v>Main/Auto 통합 화면</x:v>
      </x:c>
      <x:c r="H7" s="83" t="str">
        <x:v>E-PLC</x:v>
      </x:c>
      <x:c r="I7" s="83" t="str">
        <x:v>Drilling.Common/Interface/Melsec/CMelsec.cs</x:v>
      </x:c>
      <x:c r="J7" s="83" t="str">
        <x:v>CMelsec</x:v>
      </x:c>
      <x:c r="K7" s="83" t="str">
        <x:v>QueueWriteBit</x:v>
      </x:c>
      <x:c r="L7" s="83" t="str">
        <x:v>부분 반영</x:v>
      </x:c>
      <x:c r="M7" s="84" t="n">
        <x:v>0.78</x:v>
      </x:c>
      <x:c r="N7" s="83" t="str">
        <x:v>일부 구현은 확인되나 실장비 연동, Timeout/Alarm/Recovery, 저장·복원 또는 고객 수용시험 증빙이 부족</x:v>
      </x:c>
    </x:row>
    <x:row r="8" ht="42" customHeight="1">
      <x:c r="A8" s="83" t="str">
        <x:v>AM-001</x:v>
      </x:c>
      <x:c r="B8" s="83" t="str">
        <x:v>Glass 정보 모니터링</x:v>
      </x:c>
      <x:c r="C8" s="83" t="n">
        <x:v>45</x:v>
      </x:c>
      <x:c r="D8" s="83" t="str">
        <x:v>File/Data</x:v>
      </x:c>
      <x:c r="E8" s="83" t="str">
        <x:v>Product 관리 문서 구조 확정</x:v>
      </x:c>
      <x:c r="F8" s="83" t="str">
        <x:v>03-01</x:v>
      </x:c>
      <x:c r="G8" s="83" t="str">
        <x:v>PLC/Melsec Driver·Map</x:v>
      </x:c>
      <x:c r="H8" s="83" t="str">
        <x:v>E-PRODUCT-FILE</x:v>
      </x:c>
      <x:c r="I8" s="83" t="str">
        <x:v>Drilling.File/Product/CProductFile.cs</x:v>
      </x:c>
      <x:c r="J8" s="83" t="str">
        <x:v>CProductFile</x:v>
      </x:c>
      <x:c r="K8" s="83" t="str">
        <x:v>Save</x:v>
      </x:c>
      <x:c r="L8" s="83" t="str">
        <x:v>부분 반영</x:v>
      </x:c>
      <x:c r="M8" s="84" t="n">
        <x:v>0.78</x:v>
      </x:c>
      <x:c r="N8" s="83" t="str">
        <x:v>일부 구현은 확인되나 실장비 연동, Timeout/Alarm/Recovery, 저장·복원 또는 고객 수용시험 증빙이 부족</x:v>
      </x:c>
    </x:row>
    <x:row r="9" ht="42" customHeight="1">
      <x:c r="A9" s="83" t="str">
        <x:v>AM-001</x:v>
      </x:c>
      <x:c r="B9" s="83" t="str">
        <x:v>Glass 정보 모니터링</x:v>
      </x:c>
      <x:c r="C9" s="83" t="n">
        <x:v>45</x:v>
      </x:c>
      <x:c r="D9" s="83" t="str">
        <x:v>File/Data</x:v>
      </x:c>
      <x:c r="E9" s="83" t="str">
        <x:v>Product 관리 문서 구조 확정</x:v>
      </x:c>
      <x:c r="F9" s="83" t="str">
        <x:v>02-01</x:v>
      </x:c>
      <x:c r="G9" s="83" t="str">
        <x:v>Main/Auto 통합 화면</x:v>
      </x:c>
      <x:c r="H9" s="83" t="str">
        <x:v>E-PRODUCT-FILE</x:v>
      </x:c>
      <x:c r="I9" s="83" t="str">
        <x:v>Drilling.File/Product/CProductFile.cs</x:v>
      </x:c>
      <x:c r="J9" s="83" t="str">
        <x:v>CProductFile</x:v>
      </x:c>
      <x:c r="K9" s="83" t="str">
        <x:v>Save</x:v>
      </x:c>
      <x:c r="L9" s="83" t="str">
        <x:v>부분 반영</x:v>
      </x:c>
      <x:c r="M9" s="84" t="n">
        <x:v>0.78</x:v>
      </x:c>
      <x:c r="N9" s="83" t="str">
        <x:v>일부 구현은 확인되나 실장비 연동, Timeout/Alarm/Recovery, 저장·복원 또는 고객 수용시험 증빙이 부족</x:v>
      </x:c>
    </x:row>
    <x:row r="10" ht="42" customHeight="1">
      <x:c r="A10" s="83" t="str">
        <x:v>AM-001</x:v>
      </x:c>
      <x:c r="B10" s="83" t="str">
        <x:v>Glass 정보 모니터링</x:v>
      </x:c>
      <x:c r="C10" s="83" t="n">
        <x:v>106</x:v>
      </x:c>
      <x:c r="D10" s="83" t="str">
        <x:v>기능</x:v>
      </x:c>
      <x:c r="E10" s="83" t="str">
        <x:v>Melsec Data - Product Data 읽기/쓰기 구현</x:v>
      </x:c>
      <x:c r="F10" s="83" t="str">
        <x:v>03-01</x:v>
      </x:c>
      <x:c r="G10" s="83" t="str">
        <x:v>PLC/Melsec Driver·Map</x:v>
      </x:c>
      <x:c r="H10" s="83" t="str">
        <x:v>E-PLC</x:v>
      </x:c>
      <x:c r="I10" s="83" t="str">
        <x:v>Drilling.Common/Interface/Melsec/CMelsec.cs</x:v>
      </x:c>
      <x:c r="J10" s="83" t="str">
        <x:v>CMelsec</x:v>
      </x:c>
      <x:c r="K10" s="83" t="str">
        <x:v>QueueWriteBit</x:v>
      </x:c>
      <x:c r="L10" s="83" t="str">
        <x:v>부분 반영</x:v>
      </x:c>
      <x:c r="M10" s="84" t="n">
        <x:v>0.78</x:v>
      </x:c>
      <x:c r="N10" s="83" t="str">
        <x:v>일부 구현은 확인되나 실장비 연동, Timeout/Alarm/Recovery, 저장·복원 또는 고객 수용시험 증빙이 부족</x:v>
      </x:c>
    </x:row>
    <x:row r="11" ht="42" customHeight="1">
      <x:c r="A11" s="83" t="str">
        <x:v>AM-001</x:v>
      </x:c>
      <x:c r="B11" s="83" t="str">
        <x:v>Glass 정보 모니터링</x:v>
      </x:c>
      <x:c r="C11" s="83" t="n">
        <x:v>106</x:v>
      </x:c>
      <x:c r="D11" s="83" t="str">
        <x:v>기능</x:v>
      </x:c>
      <x:c r="E11" s="83" t="str">
        <x:v>Melsec Data - Product Data 읽기/쓰기 구현</x:v>
      </x:c>
      <x:c r="F11" s="83" t="str">
        <x:v>02-01</x:v>
      </x:c>
      <x:c r="G11" s="83" t="str">
        <x:v>Main/Auto 통합 화면</x:v>
      </x:c>
      <x:c r="H11" s="83" t="str">
        <x:v>E-PLC</x:v>
      </x:c>
      <x:c r="I11" s="83" t="str">
        <x:v>Drilling.Common/Interface/Melsec/CMelsec.cs</x:v>
      </x:c>
      <x:c r="J11" s="83" t="str">
        <x:v>CMelsec</x:v>
      </x:c>
      <x:c r="K11" s="83" t="str">
        <x:v>QueueWriteBit</x:v>
      </x:c>
      <x:c r="L11" s="83" t="str">
        <x:v>부분 반영</x:v>
      </x:c>
      <x:c r="M11" s="84" t="n">
        <x:v>0.78</x:v>
      </x:c>
      <x:c r="N11" s="83" t="str">
        <x:v>일부 구현은 확인되나 실장비 연동, Timeout/Alarm/Recovery, 저장·복원 또는 고객 수용시험 증빙이 부족</x:v>
      </x:c>
    </x:row>
    <x:row r="12" ht="42" customHeight="1">
      <x:c r="A12" s="83" t="str">
        <x:v>AM-002</x:v>
      </x:c>
      <x:c r="B12" s="83" t="str">
        <x:v>알람 상태 모니터링</x:v>
      </x:c>
      <x:c r="C12" s="83" t="n">
        <x:v>12</x:v>
      </x:c>
      <x:c r="D12" s="83" t="str">
        <x:v>UI</x:v>
      </x:c>
      <x:c r="E12" s="83" t="str">
        <x:v>Alarm 화면 - Current Alarm / Alarm History 화면 구현</x:v>
      </x:c>
      <x:c r="F12" s="83" t="str">
        <x:v>02-05</x:v>
      </x:c>
      <x:c r="G12" s="83" t="str">
        <x:v>Monitor·통신 상태 화면</x:v>
      </x:c>
      <x:c r="H12" s="83" t="str">
        <x:v>E-UI-ALARM</x:v>
      </x:c>
      <x:c r="I12" s="83" t="str">
        <x:v>Drilling.UI/Menu/Menus/CMenuAlarm.cs</x:v>
      </x:c>
      <x:c r="J12" s="83" t="str">
        <x:v>CMenuAlarm</x:v>
      </x:c>
      <x:c r="K12" s="83" t="str">
        <x:v>Build</x:v>
      </x:c>
      <x:c r="L12" s="83" t="str">
        <x:v>부분 반영</x:v>
      </x:c>
      <x:c r="M12" s="84" t="n">
        <x:v>0.7</x:v>
      </x:c>
      <x:c r="N12" s="83" t="str">
        <x:v>일부 구현은 확인되나 실장비 연동, Timeout/Alarm/Recovery, 저장·복원 또는 고객 수용시험 증빙이 부족</x:v>
      </x:c>
    </x:row>
    <x:row r="13" ht="42" customHeight="1">
      <x:c r="A13" s="83" t="str">
        <x:v>AM-002</x:v>
      </x:c>
      <x:c r="B13" s="83" t="str">
        <x:v>알람 상태 모니터링</x:v>
      </x:c>
      <x:c r="C13" s="83" t="n">
        <x:v>12</x:v>
      </x:c>
      <x:c r="D13" s="83" t="str">
        <x:v>UI</x:v>
      </x:c>
      <x:c r="E13" s="83" t="str">
        <x:v>Alarm 화면 - Current Alarm / Alarm History 화면 구현</x:v>
      </x:c>
      <x:c r="F13" s="83" t="str">
        <x:v>10-01</x:v>
      </x:c>
      <x:c r="G13" s="83" t="str">
        <x:v>Door/Laser/Scanner/Stage Interlock</x:v>
      </x:c>
      <x:c r="H13" s="83" t="str">
        <x:v>E-UI-ALARM</x:v>
      </x:c>
      <x:c r="I13" s="83" t="str">
        <x:v>Drilling.UI/Menu/Menus/CMenuAlarm.cs</x:v>
      </x:c>
      <x:c r="J13" s="83" t="str">
        <x:v>CMenuAlarm</x:v>
      </x:c>
      <x:c r="K13" s="83" t="str">
        <x:v>Build</x:v>
      </x:c>
      <x:c r="L13" s="83" t="str">
        <x:v>부분 반영</x:v>
      </x:c>
      <x:c r="M13" s="84" t="n">
        <x:v>0.7</x:v>
      </x:c>
      <x:c r="N13" s="83" t="str">
        <x:v>일부 구현은 확인되나 실장비 연동, Timeout/Alarm/Recovery, 저장·복원 또는 고객 수용시험 증빙이 부족</x:v>
      </x:c>
    </x:row>
    <x:row r="14" ht="42" customHeight="1">
      <x:c r="A14" s="83" t="str">
        <x:v>AM-002</x:v>
      </x:c>
      <x:c r="B14" s="83" t="str">
        <x:v>알람 상태 모니터링</x:v>
      </x:c>
      <x:c r="C14" s="83" t="n">
        <x:v>13</x:v>
      </x:c>
      <x:c r="D14" s="83" t="str">
        <x:v>UI</x:v>
      </x:c>
      <x:c r="E14" s="83" t="str">
        <x:v>Alarm 화면 - Alarm Trend 화면 구현</x:v>
      </x:c>
      <x:c r="F14" s="83" t="str">
        <x:v>02-05</x:v>
      </x:c>
      <x:c r="G14" s="83" t="str">
        <x:v>Monitor·통신 상태 화면</x:v>
      </x:c>
      <x:c r="H14" s="83" t="str">
        <x:v>E-UI-ALARM</x:v>
      </x:c>
      <x:c r="I14" s="83" t="str">
        <x:v>Drilling.UI/Menu/Menus/CMenuAlarm.cs</x:v>
      </x:c>
      <x:c r="J14" s="83" t="str">
        <x:v>CMenuAlarm</x:v>
      </x:c>
      <x:c r="K14" s="83" t="str">
        <x:v>Build</x:v>
      </x:c>
      <x:c r="L14" s="83" t="str">
        <x:v>부분 반영</x:v>
      </x:c>
      <x:c r="M14" s="84" t="n">
        <x:v>0.7</x:v>
      </x:c>
      <x:c r="N14" s="83" t="str">
        <x:v>일부 구현은 확인되나 실장비 연동, Timeout/Alarm/Recovery, 저장·복원 또는 고객 수용시험 증빙이 부족</x:v>
      </x:c>
    </x:row>
    <x:row r="15" ht="42" customHeight="1">
      <x:c r="A15" s="83" t="str">
        <x:v>AM-002</x:v>
      </x:c>
      <x:c r="B15" s="83" t="str">
        <x:v>알람 상태 모니터링</x:v>
      </x:c>
      <x:c r="C15" s="83" t="n">
        <x:v>13</x:v>
      </x:c>
      <x:c r="D15" s="83" t="str">
        <x:v>UI</x:v>
      </x:c>
      <x:c r="E15" s="83" t="str">
        <x:v>Alarm 화면 - Alarm Trend 화면 구현</x:v>
      </x:c>
      <x:c r="F15" s="83" t="str">
        <x:v>10-01</x:v>
      </x:c>
      <x:c r="G15" s="83" t="str">
        <x:v>Door/Laser/Scanner/Stage Interlock</x:v>
      </x:c>
      <x:c r="H15" s="83" t="str">
        <x:v>E-UI-ALARM</x:v>
      </x:c>
      <x:c r="I15" s="83" t="str">
        <x:v>Drilling.UI/Menu/Menus/CMenuAlarm.cs</x:v>
      </x:c>
      <x:c r="J15" s="83" t="str">
        <x:v>CMenuAlarm</x:v>
      </x:c>
      <x:c r="K15" s="83" t="str">
        <x:v>Build</x:v>
      </x:c>
      <x:c r="L15" s="83" t="str">
        <x:v>부분 반영</x:v>
      </x:c>
      <x:c r="M15" s="84" t="n">
        <x:v>0.7</x:v>
      </x:c>
      <x:c r="N15" s="83" t="str">
        <x:v>일부 구현은 확인되나 실장비 연동, Timeout/Alarm/Recovery, 저장·복원 또는 고객 수용시험 증빙이 부족</x:v>
      </x:c>
    </x:row>
    <x:row r="16" ht="42" customHeight="1">
      <x:c r="A16" s="83" t="str">
        <x:v>AM-002</x:v>
      </x:c>
      <x:c r="B16" s="83" t="str">
        <x:v>알람 상태 모니터링</x:v>
      </x:c>
      <x:c r="C16" s="83" t="n">
        <x:v>66</x:v>
      </x:c>
      <x:c r="D16" s="83" t="str">
        <x:v>Alarm</x:v>
      </x:c>
      <x:c r="E16" s="83" t="str">
        <x:v>Alarm Code Map 정리</x:v>
      </x:c>
      <x:c r="F16" s="83" t="str">
        <x:v>02-05</x:v>
      </x:c>
      <x:c r="G16" s="83" t="str">
        <x:v>Monitor·통신 상태 화면</x:v>
      </x:c>
      <x:c r="H16" s="83" t="str">
        <x:v>E-ALARM</x:v>
      </x:c>
      <x:c r="I16" s="83" t="str">
        <x:v>Drilling.Common/Alarm/CAlarmManager.cs</x:v>
      </x:c>
      <x:c r="J16" s="83" t="str">
        <x:v>CAlarmManager</x:v>
      </x:c>
      <x:c r="K16" s="83" t="str">
        <x:v>Evaluate</x:v>
      </x:c>
      <x:c r="L16" s="83" t="str">
        <x:v>부분 반영</x:v>
      </x:c>
      <x:c r="M16" s="84" t="n">
        <x:v>0.7</x:v>
      </x:c>
      <x:c r="N16" s="83" t="str">
        <x:v>일부 구현은 확인되나 실장비 연동, Timeout/Alarm/Recovery, 저장·복원 또는 고객 수용시험 증빙이 부족</x:v>
      </x:c>
    </x:row>
    <x:row r="17" ht="42" customHeight="1">
      <x:c r="A17" s="83" t="str">
        <x:v>AM-002</x:v>
      </x:c>
      <x:c r="B17" s="83" t="str">
        <x:v>알람 상태 모니터링</x:v>
      </x:c>
      <x:c r="C17" s="83" t="n">
        <x:v>66</x:v>
      </x:c>
      <x:c r="D17" s="83" t="str">
        <x:v>Alarm</x:v>
      </x:c>
      <x:c r="E17" s="83" t="str">
        <x:v>Alarm Code Map 정리</x:v>
      </x:c>
      <x:c r="F17" s="83" t="str">
        <x:v>10-01</x:v>
      </x:c>
      <x:c r="G17" s="83" t="str">
        <x:v>Door/Laser/Scanner/Stage Interlock</x:v>
      </x:c>
      <x:c r="H17" s="83" t="str">
        <x:v>E-ALARM</x:v>
      </x:c>
      <x:c r="I17" s="83" t="str">
        <x:v>Drilling.Common/Alarm/CAlarmManager.cs</x:v>
      </x:c>
      <x:c r="J17" s="83" t="str">
        <x:v>CAlarmManager</x:v>
      </x:c>
      <x:c r="K17" s="83" t="str">
        <x:v>Evaluate</x:v>
      </x:c>
      <x:c r="L17" s="83" t="str">
        <x:v>부분 반영</x:v>
      </x:c>
      <x:c r="M17" s="84" t="n">
        <x:v>0.7</x:v>
      </x:c>
      <x:c r="N17" s="83" t="str">
        <x:v>일부 구현은 확인되나 실장비 연동, Timeout/Alarm/Recovery, 저장·복원 또는 고객 수용시험 증빙이 부족</x:v>
      </x:c>
    </x:row>
    <x:row r="18" ht="42" customHeight="1">
      <x:c r="A18" s="83" t="str">
        <x:v>AM-002</x:v>
      </x:c>
      <x:c r="B18" s="83" t="str">
        <x:v>알람 상태 모니터링</x:v>
      </x:c>
      <x:c r="C18" s="83" t="n">
        <x:v>67</x:v>
      </x:c>
      <x:c r="D18" s="83" t="str">
        <x:v>Alarm</x:v>
      </x:c>
      <x:c r="E18" s="83" t="str">
        <x:v>Alarm 발생/해제/Reset 기능 구현</x:v>
      </x:c>
      <x:c r="F18" s="83" t="str">
        <x:v>02-05</x:v>
      </x:c>
      <x:c r="G18" s="83" t="str">
        <x:v>Monitor·통신 상태 화면</x:v>
      </x:c>
      <x:c r="H18" s="83" t="str">
        <x:v>E-ALARM</x:v>
      </x:c>
      <x:c r="I18" s="83" t="str">
        <x:v>Drilling.Common/Alarm/CAlarmManager.cs</x:v>
      </x:c>
      <x:c r="J18" s="83" t="str">
        <x:v>CAlarmManager</x:v>
      </x:c>
      <x:c r="K18" s="83" t="str">
        <x:v>Evaluate</x:v>
      </x:c>
      <x:c r="L18" s="83" t="str">
        <x:v>부분 반영</x:v>
      </x:c>
      <x:c r="M18" s="84" t="n">
        <x:v>0.7</x:v>
      </x:c>
      <x:c r="N18" s="83" t="str">
        <x:v>일부 구현은 확인되나 실장비 연동, Timeout/Alarm/Recovery, 저장·복원 또는 고객 수용시험 증빙이 부족</x:v>
      </x:c>
    </x:row>
    <x:row r="19" ht="42" customHeight="1">
      <x:c r="A19" s="83" t="str">
        <x:v>AM-002</x:v>
      </x:c>
      <x:c r="B19" s="83" t="str">
        <x:v>알람 상태 모니터링</x:v>
      </x:c>
      <x:c r="C19" s="83" t="n">
        <x:v>67</x:v>
      </x:c>
      <x:c r="D19" s="83" t="str">
        <x:v>Alarm</x:v>
      </x:c>
      <x:c r="E19" s="83" t="str">
        <x:v>Alarm 발생/해제/Reset 기능 구현</x:v>
      </x:c>
      <x:c r="F19" s="83" t="str">
        <x:v>10-01</x:v>
      </x:c>
      <x:c r="G19" s="83" t="str">
        <x:v>Door/Laser/Scanner/Stage Interlock</x:v>
      </x:c>
      <x:c r="H19" s="83" t="str">
        <x:v>E-ALARM</x:v>
      </x:c>
      <x:c r="I19" s="83" t="str">
        <x:v>Drilling.Common/Alarm/CAlarmManager.cs</x:v>
      </x:c>
      <x:c r="J19" s="83" t="str">
        <x:v>CAlarmManager</x:v>
      </x:c>
      <x:c r="K19" s="83" t="str">
        <x:v>Evaluate</x:v>
      </x:c>
      <x:c r="L19" s="83" t="str">
        <x:v>부분 반영</x:v>
      </x:c>
      <x:c r="M19" s="84" t="n">
        <x:v>0.7</x:v>
      </x:c>
      <x:c r="N19" s="83" t="str">
        <x:v>일부 구현은 확인되나 실장비 연동, Timeout/Alarm/Recovery, 저장·복원 또는 고객 수용시험 증빙이 부족</x:v>
      </x:c>
    </x:row>
    <x:row r="20" ht="42" customHeight="1">
      <x:c r="A20" s="83" t="str">
        <x:v>AM-002</x:v>
      </x:c>
      <x:c r="B20" s="83" t="str">
        <x:v>알람 상태 모니터링</x:v>
      </x:c>
      <x:c r="C20" s="83" t="n">
        <x:v>68</x:v>
      </x:c>
      <x:c r="D20" s="83" t="str">
        <x:v>Alarm</x:v>
      </x:c>
      <x:c r="E20" s="83" t="str">
        <x:v>Alarm Trend/History 구현</x:v>
      </x:c>
      <x:c r="F20" s="83" t="str">
        <x:v>02-05</x:v>
      </x:c>
      <x:c r="G20" s="83" t="str">
        <x:v>Monitor·통신 상태 화면</x:v>
      </x:c>
      <x:c r="H20" s="83" t="str">
        <x:v>E-ALARM</x:v>
      </x:c>
      <x:c r="I20" s="83" t="str">
        <x:v>Drilling.Common/Alarm/CAlarmManager.cs</x:v>
      </x:c>
      <x:c r="J20" s="83" t="str">
        <x:v>CAlarmManager</x:v>
      </x:c>
      <x:c r="K20" s="83" t="str">
        <x:v>Evaluate</x:v>
      </x:c>
      <x:c r="L20" s="83" t="str">
        <x:v>부분 반영</x:v>
      </x:c>
      <x:c r="M20" s="84" t="n">
        <x:v>0.7</x:v>
      </x:c>
      <x:c r="N20" s="83" t="str">
        <x:v>일부 구현은 확인되나 실장비 연동, Timeout/Alarm/Recovery, 저장·복원 또는 고객 수용시험 증빙이 부족</x:v>
      </x:c>
    </x:row>
    <x:row r="21" ht="42" customHeight="1">
      <x:c r="A21" s="83" t="str">
        <x:v>AM-002</x:v>
      </x:c>
      <x:c r="B21" s="83" t="str">
        <x:v>알람 상태 모니터링</x:v>
      </x:c>
      <x:c r="C21" s="83" t="n">
        <x:v>68</x:v>
      </x:c>
      <x:c r="D21" s="83" t="str">
        <x:v>Alarm</x:v>
      </x:c>
      <x:c r="E21" s="83" t="str">
        <x:v>Alarm Trend/History 구현</x:v>
      </x:c>
      <x:c r="F21" s="83" t="str">
        <x:v>10-01</x:v>
      </x:c>
      <x:c r="G21" s="83" t="str">
        <x:v>Door/Laser/Scanner/Stage Interlock</x:v>
      </x:c>
      <x:c r="H21" s="83" t="str">
        <x:v>E-ALARM</x:v>
      </x:c>
      <x:c r="I21" s="83" t="str">
        <x:v>Drilling.Common/Alarm/CAlarmManager.cs</x:v>
      </x:c>
      <x:c r="J21" s="83" t="str">
        <x:v>CAlarmManager</x:v>
      </x:c>
      <x:c r="K21" s="83" t="str">
        <x:v>Evaluate</x:v>
      </x:c>
      <x:c r="L21" s="83" t="str">
        <x:v>부분 반영</x:v>
      </x:c>
      <x:c r="M21" s="84" t="n">
        <x:v>0.7</x:v>
      </x:c>
      <x:c r="N21" s="83" t="str">
        <x:v>일부 구현은 확인되나 실장비 연동, Timeout/Alarm/Recovery, 저장·복원 또는 고객 수용시험 증빙이 부족</x:v>
      </x:c>
    </x:row>
    <x:row r="22" ht="42" customHeight="1">
      <x:c r="A22" s="83" t="str">
        <x:v>AM-003</x:v>
      </x:c>
      <x:c r="B22" s="83" t="str">
        <x:v>CIM 연결 상태 모니터링</x:v>
      </x:c>
      <x:c r="C22" s="83" t="n">
        <x:v>108</x:v>
      </x:c>
      <x:c r="D22" s="83" t="str">
        <x:v>기능</x:v>
      </x:c>
      <x:c r="E22" s="83" t="str">
        <x:v>CIM - 가공 결과 보고 구현</x:v>
      </x:c>
      <x:c r="F22" s="83" t="str">
        <x:v>03-02</x:v>
      </x:c>
      <x:c r="G22" s="83" t="str">
        <x:v>CIM 통신·Handshake</x:v>
      </x:c>
      <x:c r="H22" s="83" t="str">
        <x:v>E-NO-CIM</x:v>
      </x:c>
      <x:c r="I22" s="83" t="str">
        <x:v>-</x:v>
      </x:c>
      <x:c r="J22" s="83" t="str">
        <x:v>-</x:v>
      </x:c>
      <x:c r="K22" s="83" t="str">
        <x:v>CIM 전용 Driver/Sequence</x:v>
      </x:c>
      <x:c r="L22" s="83" t="str">
        <x:v>미반영</x:v>
      </x:c>
      <x:c r="M22" s="84" t="n">
        <x:v>0.05</x:v>
      </x:c>
      <x:c r="N22" s="83" t="str">
        <x:v>전용 Driver/Sequence/UI/데이터 모델의 직접 구현 근거가 없어 신규 구현과 단위·통합·실장비 시험이 필요</x:v>
      </x:c>
    </x:row>
    <x:row r="23" ht="42" customHeight="1">
      <x:c r="A23" s="83" t="str">
        <x:v>AM-003</x:v>
      </x:c>
      <x:c r="B23" s="83" t="str">
        <x:v>CIM 연결 상태 모니터링</x:v>
      </x:c>
      <x:c r="C23" s="83" t="n">
        <x:v>109</x:v>
      </x:c>
      <x:c r="D23" s="83" t="str">
        <x:v>기능</x:v>
      </x:c>
      <x:c r="E23" s="83" t="str">
        <x:v>CIM - Alarm 정보 보고 구현</x:v>
      </x:c>
      <x:c r="F23" s="83" t="str">
        <x:v>03-02</x:v>
      </x:c>
      <x:c r="G23" s="83" t="str">
        <x:v>CIM 통신·Handshake</x:v>
      </x:c>
      <x:c r="H23" s="83" t="str">
        <x:v>E-NO-CIM</x:v>
      </x:c>
      <x:c r="I23" s="83" t="str">
        <x:v>-</x:v>
      </x:c>
      <x:c r="J23" s="83" t="str">
        <x:v>-</x:v>
      </x:c>
      <x:c r="K23" s="83" t="str">
        <x:v>CIM 전용 Driver/Sequence</x:v>
      </x:c>
      <x:c r="L23" s="83" t="str">
        <x:v>미반영</x:v>
      </x:c>
      <x:c r="M23" s="84" t="n">
        <x:v>0.05</x:v>
      </x:c>
      <x:c r="N23" s="83" t="str">
        <x:v>전용 Driver/Sequence/UI/데이터 모델의 직접 구현 근거가 없어 신규 구현과 단위·통합·실장비 시험이 필요</x:v>
      </x:c>
    </x:row>
    <x:row r="24" ht="42" customHeight="1">
      <x:c r="A24" s="83" t="str">
        <x:v>AM-003</x:v>
      </x:c>
      <x:c r="B24" s="83" t="str">
        <x:v>CIM 연결 상태 모니터링</x:v>
      </x:c>
      <x:c r="C24" s="83" t="n">
        <x:v>110</x:v>
      </x:c>
      <x:c r="D24" s="83" t="str">
        <x:v>기능</x:v>
      </x:c>
      <x:c r="E24" s="83" t="str">
        <x:v>CIM - Recipe 정보 보고 구현</x:v>
      </x:c>
      <x:c r="F24" s="83" t="str">
        <x:v>03-02</x:v>
      </x:c>
      <x:c r="G24" s="83" t="str">
        <x:v>CIM 통신·Handshake</x:v>
      </x:c>
      <x:c r="H24" s="83" t="str">
        <x:v>E-NO-CIM</x:v>
      </x:c>
      <x:c r="I24" s="83" t="str">
        <x:v>-</x:v>
      </x:c>
      <x:c r="J24" s="83" t="str">
        <x:v>-</x:v>
      </x:c>
      <x:c r="K24" s="83" t="str">
        <x:v>CIM 전용 Driver/Sequence</x:v>
      </x:c>
      <x:c r="L24" s="83" t="str">
        <x:v>미반영</x:v>
      </x:c>
      <x:c r="M24" s="84" t="n">
        <x:v>0.05</x:v>
      </x:c>
      <x:c r="N24" s="83" t="str">
        <x:v>전용 Driver/Sequence/UI/데이터 모델의 직접 구현 근거가 없어 신규 구현과 단위·통합·실장비 시험이 필요</x:v>
      </x:c>
    </x:row>
    <x:row r="25" ht="42" customHeight="1">
      <x:c r="A25" s="83" t="str">
        <x:v>AM-003</x:v>
      </x:c>
      <x:c r="B25" s="83" t="str">
        <x:v>CIM 연결 상태 모니터링</x:v>
      </x:c>
      <x:c r="C25" s="83" t="n">
        <x:v>111</x:v>
      </x:c>
      <x:c r="D25" s="83" t="str">
        <x:v>기능</x:v>
      </x:c>
      <x:c r="E25" s="83" t="str">
        <x:v>CIM - Time 정보 보고 구현</x:v>
      </x:c>
      <x:c r="F25" s="83" t="str">
        <x:v>03-02</x:v>
      </x:c>
      <x:c r="G25" s="83" t="str">
        <x:v>CIM 통신·Handshake</x:v>
      </x:c>
      <x:c r="H25" s="83" t="str">
        <x:v>E-NO-CIM</x:v>
      </x:c>
      <x:c r="I25" s="83" t="str">
        <x:v>-</x:v>
      </x:c>
      <x:c r="J25" s="83" t="str">
        <x:v>-</x:v>
      </x:c>
      <x:c r="K25" s="83" t="str">
        <x:v>CIM 전용 Driver/Sequence</x:v>
      </x:c>
      <x:c r="L25" s="83" t="str">
        <x:v>미반영</x:v>
      </x:c>
      <x:c r="M25" s="84" t="n">
        <x:v>0.05</x:v>
      </x:c>
      <x:c r="N25" s="83" t="str">
        <x:v>전용 Driver/Sequence/UI/데이터 모델의 직접 구현 근거가 없어 신규 구현과 단위·통합·실장비 시험이 필요</x:v>
      </x:c>
    </x:row>
    <x:row r="26" ht="42" customHeight="1">
      <x:c r="A26" s="83" t="str">
        <x:v>AM-004</x:v>
      </x:c>
      <x:c r="B26" s="83" t="str">
        <x:v>광학계 상태 모니터링</x:v>
      </x:c>
      <x:c r="C26" s="83" t="n">
        <x:v>14</x:v>
      </x:c>
      <x:c r="D26" s="83" t="str">
        <x:v>UI</x:v>
      </x:c>
      <x:c r="E26" s="83" t="str">
        <x:v>Monitoring - Laser 화면 구현</x:v>
      </x:c>
      <x:c r="F26" s="83" t="str">
        <x:v>02-06</x:v>
      </x:c>
      <x:c r="G26" s="83" t="str">
        <x:v>Optics·Power·Correction 화면</x:v>
      </x:c>
      <x:c r="H26" s="83" t="str">
        <x:v>E-UI-MONITOR</x:v>
      </x:c>
      <x:c r="I26" s="83" t="str">
        <x:v>Drilling.UI/Menu/Menus/CMenuMonitor.cs</x:v>
      </x:c>
      <x:c r="J26" s="83" t="str">
        <x:v>CMenuMonitor</x:v>
      </x:c>
      <x:c r="K26" s="83" t="str">
        <x:v>RefreshLiveData</x:v>
      </x:c>
      <x:c r="L26" s="83" t="str">
        <x:v>부분 반영</x:v>
      </x:c>
      <x:c r="M26" s="84" t="n">
        <x:v>0.75</x:v>
      </x:c>
      <x:c r="N26" s="83" t="str">
        <x:v>일부 구현은 확인되나 실장비 연동, Timeout/Alarm/Recovery, 저장·복원 또는 고객 수용시험 증빙이 부족</x:v>
      </x:c>
    </x:row>
    <x:row r="27" ht="42" customHeight="1">
      <x:c r="A27" s="83" t="str">
        <x:v>AM-004</x:v>
      </x:c>
      <x:c r="B27" s="83" t="str">
        <x:v>광학계 상태 모니터링</x:v>
      </x:c>
      <x:c r="C27" s="83" t="n">
        <x:v>14</x:v>
      </x:c>
      <x:c r="D27" s="83" t="str">
        <x:v>UI</x:v>
      </x:c>
      <x:c r="E27" s="83" t="str">
        <x:v>Monitoring - Laser 화면 구현</x:v>
      </x:c>
      <x:c r="F27" s="83" t="str">
        <x:v>09-02</x:v>
      </x:c>
      <x:c r="G27" s="83" t="str">
        <x:v>Optics 동작·Recipe 연계</x:v>
      </x:c>
      <x:c r="H27" s="83" t="str">
        <x:v>E-UI-MONITOR</x:v>
      </x:c>
      <x:c r="I27" s="83" t="str">
        <x:v>Drilling.UI/Menu/Menus/CMenuMonitor.cs</x:v>
      </x:c>
      <x:c r="J27" s="83" t="str">
        <x:v>CMenuMonitor</x:v>
      </x:c>
      <x:c r="K27" s="83" t="str">
        <x:v>RefreshLiveData</x:v>
      </x:c>
      <x:c r="L27" s="83" t="str">
        <x:v>부분 반영</x:v>
      </x:c>
      <x:c r="M27" s="84" t="n">
        <x:v>0.75</x:v>
      </x:c>
      <x:c r="N27" s="83" t="str">
        <x:v>일부 구현은 확인되나 실장비 연동, Timeout/Alarm/Recovery, 저장·복원 또는 고객 수용시험 증빙이 부족</x:v>
      </x:c>
    </x:row>
    <x:row r="28" ht="42" customHeight="1">
      <x:c r="A28" s="83" t="str">
        <x:v>AM-004</x:v>
      </x:c>
      <x:c r="B28" s="83" t="str">
        <x:v>광학계 상태 모니터링</x:v>
      </x:c>
      <x:c r="C28" s="83" t="n">
        <x:v>15</x:v>
      </x:c>
      <x:c r="D28" s="83" t="str">
        <x:v>UI</x:v>
      </x:c>
      <x:c r="E28" s="83" t="str">
        <x:v>Monitoring - Chiller 화면 구현</x:v>
      </x:c>
      <x:c r="F28" s="83" t="str">
        <x:v>02-06</x:v>
      </x:c>
      <x:c r="G28" s="83" t="str">
        <x:v>Optics·Power·Correction 화면</x:v>
      </x:c>
      <x:c r="H28" s="83" t="str">
        <x:v>E-UI-MONITOR</x:v>
      </x:c>
      <x:c r="I28" s="83" t="str">
        <x:v>Drilling.UI/Menu/Menus/CMenuMonitor.cs</x:v>
      </x:c>
      <x:c r="J28" s="83" t="str">
        <x:v>CMenuMonitor</x:v>
      </x:c>
      <x:c r="K28" s="83" t="str">
        <x:v>RefreshLiveData</x:v>
      </x:c>
      <x:c r="L28" s="83" t="str">
        <x:v>부분 반영</x:v>
      </x:c>
      <x:c r="M28" s="84" t="n">
        <x:v>0.75</x:v>
      </x:c>
      <x:c r="N28" s="83" t="str">
        <x:v>일부 구현은 확인되나 실장비 연동, Timeout/Alarm/Recovery, 저장·복원 또는 고객 수용시험 증빙이 부족</x:v>
      </x:c>
    </x:row>
    <x:row r="29" ht="42" customHeight="1">
      <x:c r="A29" s="83" t="str">
        <x:v>AM-004</x:v>
      </x:c>
      <x:c r="B29" s="83" t="str">
        <x:v>광학계 상태 모니터링</x:v>
      </x:c>
      <x:c r="C29" s="83" t="n">
        <x:v>15</x:v>
      </x:c>
      <x:c r="D29" s="83" t="str">
        <x:v>UI</x:v>
      </x:c>
      <x:c r="E29" s="83" t="str">
        <x:v>Monitoring - Chiller 화면 구현</x:v>
      </x:c>
      <x:c r="F29" s="83" t="str">
        <x:v>09-02</x:v>
      </x:c>
      <x:c r="G29" s="83" t="str">
        <x:v>Optics 동작·Recipe 연계</x:v>
      </x:c>
      <x:c r="H29" s="83" t="str">
        <x:v>E-UI-MONITOR</x:v>
      </x:c>
      <x:c r="I29" s="83" t="str">
        <x:v>Drilling.UI/Menu/Menus/CMenuMonitor.cs</x:v>
      </x:c>
      <x:c r="J29" s="83" t="str">
        <x:v>CMenuMonitor</x:v>
      </x:c>
      <x:c r="K29" s="83" t="str">
        <x:v>RefreshLiveData</x:v>
      </x:c>
      <x:c r="L29" s="83" t="str">
        <x:v>부분 반영</x:v>
      </x:c>
      <x:c r="M29" s="84" t="n">
        <x:v>0.75</x:v>
      </x:c>
      <x:c r="N29" s="83" t="str">
        <x:v>일부 구현은 확인되나 실장비 연동, Timeout/Alarm/Recovery, 저장·복원 또는 고객 수용시험 증빙이 부족</x:v>
      </x:c>
    </x:row>
    <x:row r="30" ht="42" customHeight="1">
      <x:c r="A30" s="83" t="str">
        <x:v>AM-004</x:v>
      </x:c>
      <x:c r="B30" s="83" t="str">
        <x:v>광학계 상태 모니터링</x:v>
      </x:c>
      <x:c r="C30" s="83" t="n">
        <x:v>16</x:v>
      </x:c>
      <x:c r="D30" s="83" t="str">
        <x:v>UI</x:v>
      </x:c>
      <x:c r="E30" s="83" t="str">
        <x:v>Monitoring - PowerMeter 화면 구현</x:v>
      </x:c>
      <x:c r="F30" s="83" t="str">
        <x:v>02-06</x:v>
      </x:c>
      <x:c r="G30" s="83" t="str">
        <x:v>Optics·Power·Correction 화면</x:v>
      </x:c>
      <x:c r="H30" s="83" t="str">
        <x:v>E-UI-MONITOR</x:v>
      </x:c>
      <x:c r="I30" s="83" t="str">
        <x:v>Drilling.UI/Menu/Menus/CMenuMonitor.cs</x:v>
      </x:c>
      <x:c r="J30" s="83" t="str">
        <x:v>CMenuMonitor</x:v>
      </x:c>
      <x:c r="K30" s="83" t="str">
        <x:v>RefreshLiveData</x:v>
      </x:c>
      <x:c r="L30" s="83" t="str">
        <x:v>부분 반영</x:v>
      </x:c>
      <x:c r="M30" s="84" t="n">
        <x:v>0.75</x:v>
      </x:c>
      <x:c r="N30" s="83" t="str">
        <x:v>일부 구현은 확인되나 실장비 연동, Timeout/Alarm/Recovery, 저장·복원 또는 고객 수용시험 증빙이 부족</x:v>
      </x:c>
    </x:row>
    <x:row r="31" ht="42" customHeight="1">
      <x:c r="A31" s="83" t="str">
        <x:v>AM-004</x:v>
      </x:c>
      <x:c r="B31" s="83" t="str">
        <x:v>광학계 상태 모니터링</x:v>
      </x:c>
      <x:c r="C31" s="83" t="n">
        <x:v>16</x:v>
      </x:c>
      <x:c r="D31" s="83" t="str">
        <x:v>UI</x:v>
      </x:c>
      <x:c r="E31" s="83" t="str">
        <x:v>Monitoring - PowerMeter 화면 구현</x:v>
      </x:c>
      <x:c r="F31" s="83" t="str">
        <x:v>09-02</x:v>
      </x:c>
      <x:c r="G31" s="83" t="str">
        <x:v>Optics 동작·Recipe 연계</x:v>
      </x:c>
      <x:c r="H31" s="83" t="str">
        <x:v>E-UI-MONITOR</x:v>
      </x:c>
      <x:c r="I31" s="83" t="str">
        <x:v>Drilling.UI/Menu/Menus/CMenuMonitor.cs</x:v>
      </x:c>
      <x:c r="J31" s="83" t="str">
        <x:v>CMenuMonitor</x:v>
      </x:c>
      <x:c r="K31" s="83" t="str">
        <x:v>RefreshLiveData</x:v>
      </x:c>
      <x:c r="L31" s="83" t="str">
        <x:v>부분 반영</x:v>
      </x:c>
      <x:c r="M31" s="84" t="n">
        <x:v>0.75</x:v>
      </x:c>
      <x:c r="N31" s="83" t="str">
        <x:v>일부 구현은 확인되나 실장비 연동, Timeout/Alarm/Recovery, 저장·복원 또는 고객 수용시험 증빙이 부족</x:v>
      </x:c>
    </x:row>
    <x:row r="32" ht="42" customHeight="1">
      <x:c r="A32" s="83" t="str">
        <x:v>AM-004</x:v>
      </x:c>
      <x:c r="B32" s="83" t="str">
        <x:v>광학계 상태 모니터링</x:v>
      </x:c>
      <x:c r="C32" s="83" t="n">
        <x:v>17</x:v>
      </x:c>
      <x:c r="D32" s="83" t="str">
        <x:v>UI</x:v>
      </x:c>
      <x:c r="E32" s="83" t="str">
        <x:v>Monitoring - BET 화면 구현</x:v>
      </x:c>
      <x:c r="F32" s="83" t="str">
        <x:v>02-06</x:v>
      </x:c>
      <x:c r="G32" s="83" t="str">
        <x:v>Optics·Power·Correction 화면</x:v>
      </x:c>
      <x:c r="H32" s="83" t="str">
        <x:v>E-UI-MONITOR</x:v>
      </x:c>
      <x:c r="I32" s="83" t="str">
        <x:v>Drilling.UI/Menu/Menus/CMenuMonitor.cs</x:v>
      </x:c>
      <x:c r="J32" s="83" t="str">
        <x:v>CMenuMonitor</x:v>
      </x:c>
      <x:c r="K32" s="83" t="str">
        <x:v>RefreshLiveData</x:v>
      </x:c>
      <x:c r="L32" s="83" t="str">
        <x:v>부분 반영</x:v>
      </x:c>
      <x:c r="M32" s="84" t="n">
        <x:v>0.75</x:v>
      </x:c>
      <x:c r="N32" s="83" t="str">
        <x:v>일부 구현은 확인되나 실장비 연동, Timeout/Alarm/Recovery, 저장·복원 또는 고객 수용시험 증빙이 부족</x:v>
      </x:c>
    </x:row>
    <x:row r="33" ht="42" customHeight="1">
      <x:c r="A33" s="83" t="str">
        <x:v>AM-004</x:v>
      </x:c>
      <x:c r="B33" s="83" t="str">
        <x:v>광학계 상태 모니터링</x:v>
      </x:c>
      <x:c r="C33" s="83" t="n">
        <x:v>17</x:v>
      </x:c>
      <x:c r="D33" s="83" t="str">
        <x:v>UI</x:v>
      </x:c>
      <x:c r="E33" s="83" t="str">
        <x:v>Monitoring - BET 화면 구현</x:v>
      </x:c>
      <x:c r="F33" s="83" t="str">
        <x:v>09-02</x:v>
      </x:c>
      <x:c r="G33" s="83" t="str">
        <x:v>Optics 동작·Recipe 연계</x:v>
      </x:c>
      <x:c r="H33" s="83" t="str">
        <x:v>E-UI-MONITOR</x:v>
      </x:c>
      <x:c r="I33" s="83" t="str">
        <x:v>Drilling.UI/Menu/Menus/CMenuMonitor.cs</x:v>
      </x:c>
      <x:c r="J33" s="83" t="str">
        <x:v>CMenuMonitor</x:v>
      </x:c>
      <x:c r="K33" s="83" t="str">
        <x:v>RefreshLiveData</x:v>
      </x:c>
      <x:c r="L33" s="83" t="str">
        <x:v>부분 반영</x:v>
      </x:c>
      <x:c r="M33" s="84" t="n">
        <x:v>0.75</x:v>
      </x:c>
      <x:c r="N33" s="83" t="str">
        <x:v>일부 구현은 확인되나 실장비 연동, Timeout/Alarm/Recovery, 저장·복원 또는 고객 수용시험 증빙이 부족</x:v>
      </x:c>
    </x:row>
    <x:row r="34" ht="42" customHeight="1">
      <x:c r="A34" s="83" t="str">
        <x:v>AM-004</x:v>
      </x:c>
      <x:c r="B34" s="83" t="str">
        <x:v>광학계 상태 모니터링</x:v>
      </x:c>
      <x:c r="C34" s="83" t="n">
        <x:v>20</x:v>
      </x:c>
      <x:c r="D34" s="83" t="str">
        <x:v>UI</x:v>
      </x:c>
      <x:c r="E34" s="83" t="str">
        <x:v>Monitoring - Attenuator 화면 구현</x:v>
      </x:c>
      <x:c r="F34" s="83" t="str">
        <x:v>02-06</x:v>
      </x:c>
      <x:c r="G34" s="83" t="str">
        <x:v>Optics·Power·Correction 화면</x:v>
      </x:c>
      <x:c r="H34" s="83" t="str">
        <x:v>E-UI-MONITOR</x:v>
      </x:c>
      <x:c r="I34" s="83" t="str">
        <x:v>Drilling.UI/Menu/Menus/CMenuMonitor.cs</x:v>
      </x:c>
      <x:c r="J34" s="83" t="str">
        <x:v>CMenuMonitor</x:v>
      </x:c>
      <x:c r="K34" s="83" t="str">
        <x:v>RefreshLiveData</x:v>
      </x:c>
      <x:c r="L34" s="83" t="str">
        <x:v>부분 반영</x:v>
      </x:c>
      <x:c r="M34" s="84" t="n">
        <x:v>0.75</x:v>
      </x:c>
      <x:c r="N34" s="83" t="str">
        <x:v>일부 구현은 확인되나 실장비 연동, Timeout/Alarm/Recovery, 저장·복원 또는 고객 수용시험 증빙이 부족</x:v>
      </x:c>
    </x:row>
    <x:row r="35" ht="42" customHeight="1">
      <x:c r="A35" s="83" t="str">
        <x:v>AM-004</x:v>
      </x:c>
      <x:c r="B35" s="83" t="str">
        <x:v>광학계 상태 모니터링</x:v>
      </x:c>
      <x:c r="C35" s="83" t="n">
        <x:v>20</x:v>
      </x:c>
      <x:c r="D35" s="83" t="str">
        <x:v>UI</x:v>
      </x:c>
      <x:c r="E35" s="83" t="str">
        <x:v>Monitoring - Attenuator 화면 구현</x:v>
      </x:c>
      <x:c r="F35" s="83" t="str">
        <x:v>09-02</x:v>
      </x:c>
      <x:c r="G35" s="83" t="str">
        <x:v>Optics 동작·Recipe 연계</x:v>
      </x:c>
      <x:c r="H35" s="83" t="str">
        <x:v>E-UI-MONITOR</x:v>
      </x:c>
      <x:c r="I35" s="83" t="str">
        <x:v>Drilling.UI/Menu/Menus/CMenuMonitor.cs</x:v>
      </x:c>
      <x:c r="J35" s="83" t="str">
        <x:v>CMenuMonitor</x:v>
      </x:c>
      <x:c r="K35" s="83" t="str">
        <x:v>RefreshLiveData</x:v>
      </x:c>
      <x:c r="L35" s="83" t="str">
        <x:v>부분 반영</x:v>
      </x:c>
      <x:c r="M35" s="84" t="n">
        <x:v>0.75</x:v>
      </x:c>
      <x:c r="N35" s="83" t="str">
        <x:v>일부 구현은 확인되나 실장비 연동, Timeout/Alarm/Recovery, 저장·복원 또는 고객 수용시험 증빙이 부족</x:v>
      </x:c>
    </x:row>
    <x:row r="36" ht="42" customHeight="1">
      <x:c r="A36" s="83" t="str">
        <x:v>AM-004</x:v>
      </x:c>
      <x:c r="B36" s="83" t="str">
        <x:v>광학계 상태 모니터링</x:v>
      </x:c>
      <x:c r="C36" s="83" t="n">
        <x:v>26</x:v>
      </x:c>
      <x:c r="D36" s="83" t="str">
        <x:v>통신</x:v>
      </x:c>
      <x:c r="E36" s="83" t="str">
        <x:v>Talon Laser 연동 기능 구현</x:v>
      </x:c>
      <x:c r="F36" s="83" t="str">
        <x:v>02-06</x:v>
      </x:c>
      <x:c r="G36" s="83" t="str">
        <x:v>Optics·Power·Correction 화면</x:v>
      </x:c>
      <x:c r="H36" s="83" t="str">
        <x:v>E-LASER</x:v>
      </x:c>
      <x:c r="I36" s="83" t="str">
        <x:v>Drilling.Common/Interface/Serial/CTalonLaser.cs</x:v>
      </x:c>
      <x:c r="J36" s="83" t="str">
        <x:v>CTalonLaser</x:v>
      </x:c>
      <x:c r="K36" s="83" t="str">
        <x:v>Execute</x:v>
      </x:c>
      <x:c r="L36" s="83" t="str">
        <x:v>부분 반영</x:v>
      </x:c>
      <x:c r="M36" s="84" t="n">
        <x:v>0.75</x:v>
      </x:c>
      <x:c r="N36" s="83" t="str">
        <x:v>일부 구현은 확인되나 실장비 연동, Timeout/Alarm/Recovery, 저장·복원 또는 고객 수용시험 증빙이 부족</x:v>
      </x:c>
    </x:row>
    <x:row r="37" ht="42" customHeight="1">
      <x:c r="A37" s="83" t="str">
        <x:v>AM-004</x:v>
      </x:c>
      <x:c r="B37" s="83" t="str">
        <x:v>광학계 상태 모니터링</x:v>
      </x:c>
      <x:c r="C37" s="83" t="n">
        <x:v>26</x:v>
      </x:c>
      <x:c r="D37" s="83" t="str">
        <x:v>통신</x:v>
      </x:c>
      <x:c r="E37" s="83" t="str">
        <x:v>Talon Laser 연동 기능 구현</x:v>
      </x:c>
      <x:c r="F37" s="83" t="str">
        <x:v>09-02</x:v>
      </x:c>
      <x:c r="G37" s="83" t="str">
        <x:v>Optics 동작·Recipe 연계</x:v>
      </x:c>
      <x:c r="H37" s="83" t="str">
        <x:v>E-LASER</x:v>
      </x:c>
      <x:c r="I37" s="83" t="str">
        <x:v>Drilling.Common/Interface/Serial/CTalonLaser.cs</x:v>
      </x:c>
      <x:c r="J37" s="83" t="str">
        <x:v>CTalonLaser</x:v>
      </x:c>
      <x:c r="K37" s="83" t="str">
        <x:v>Execute</x:v>
      </x:c>
      <x:c r="L37" s="83" t="str">
        <x:v>부분 반영</x:v>
      </x:c>
      <x:c r="M37" s="84" t="n">
        <x:v>0.75</x:v>
      </x:c>
      <x:c r="N37" s="83" t="str">
        <x:v>일부 구현은 확인되나 실장비 연동, Timeout/Alarm/Recovery, 저장·복원 또는 고객 수용시험 증빙이 부족</x:v>
      </x:c>
    </x:row>
    <x:row r="38" ht="42" customHeight="1">
      <x:c r="A38" s="83" t="str">
        <x:v>AM-004</x:v>
      </x:c>
      <x:c r="B38" s="83" t="str">
        <x:v>광학계 상태 모니터링</x:v>
      </x:c>
      <x:c r="C38" s="83" t="n">
        <x:v>28</x:v>
      </x:c>
      <x:c r="D38" s="83" t="str">
        <x:v>통신</x:v>
      </x:c>
      <x:c r="E38" s="83" t="str">
        <x:v>Chiller 연동 기능 구현</x:v>
      </x:c>
      <x:c r="F38" s="83" t="str">
        <x:v>02-06</x:v>
      </x:c>
      <x:c r="G38" s="83" t="str">
        <x:v>Optics·Power·Correction 화면</x:v>
      </x:c>
      <x:c r="H38" s="83" t="str">
        <x:v>E-CHILLER</x:v>
      </x:c>
      <x:c r="I38" s="83" t="str">
        <x:v>Drilling.Common/Interface/Serial/COrionChiller.cs</x:v>
      </x:c>
      <x:c r="J38" s="83" t="str">
        <x:v>COrionChiller</x:v>
      </x:c>
      <x:c r="K38" s="83" t="str">
        <x:v>Execute</x:v>
      </x:c>
      <x:c r="L38" s="83" t="str">
        <x:v>부분 반영</x:v>
      </x:c>
      <x:c r="M38" s="84" t="n">
        <x:v>0.75</x:v>
      </x:c>
      <x:c r="N38" s="83" t="str">
        <x:v>일부 구현은 확인되나 실장비 연동, Timeout/Alarm/Recovery, 저장·복원 또는 고객 수용시험 증빙이 부족</x:v>
      </x:c>
    </x:row>
    <x:row r="39" ht="42" customHeight="1">
      <x:c r="A39" s="83" t="str">
        <x:v>AM-004</x:v>
      </x:c>
      <x:c r="B39" s="83" t="str">
        <x:v>광학계 상태 모니터링</x:v>
      </x:c>
      <x:c r="C39" s="83" t="n">
        <x:v>28</x:v>
      </x:c>
      <x:c r="D39" s="83" t="str">
        <x:v>통신</x:v>
      </x:c>
      <x:c r="E39" s="83" t="str">
        <x:v>Chiller 연동 기능 구현</x:v>
      </x:c>
      <x:c r="F39" s="83" t="str">
        <x:v>09-02</x:v>
      </x:c>
      <x:c r="G39" s="83" t="str">
        <x:v>Optics 동작·Recipe 연계</x:v>
      </x:c>
      <x:c r="H39" s="83" t="str">
        <x:v>E-CHILLER</x:v>
      </x:c>
      <x:c r="I39" s="83" t="str">
        <x:v>Drilling.Common/Interface/Serial/COrionChiller.cs</x:v>
      </x:c>
      <x:c r="J39" s="83" t="str">
        <x:v>COrionChiller</x:v>
      </x:c>
      <x:c r="K39" s="83" t="str">
        <x:v>Execute</x:v>
      </x:c>
      <x:c r="L39" s="83" t="str">
        <x:v>부분 반영</x:v>
      </x:c>
      <x:c r="M39" s="84" t="n">
        <x:v>0.75</x:v>
      </x:c>
      <x:c r="N39" s="83" t="str">
        <x:v>일부 구현은 확인되나 실장비 연동, Timeout/Alarm/Recovery, 저장·복원 또는 고객 수용시험 증빙이 부족</x:v>
      </x:c>
    </x:row>
    <x:row r="40" ht="42" customHeight="1">
      <x:c r="A40" s="83" t="str">
        <x:v>AM-004</x:v>
      </x:c>
      <x:c r="B40" s="83" t="str">
        <x:v>광학계 상태 모니터링</x:v>
      </x:c>
      <x:c r="C40" s="83" t="n">
        <x:v>29</x:v>
      </x:c>
      <x:c r="D40" s="83" t="str">
        <x:v>통신</x:v>
      </x:c>
      <x:c r="E40" s="83" t="str">
        <x:v>BET 연동 기능 구현</x:v>
      </x:c>
      <x:c r="F40" s="83" t="str">
        <x:v>02-06</x:v>
      </x:c>
      <x:c r="G40" s="83" t="str">
        <x:v>Optics·Power·Correction 화면</x:v>
      </x:c>
      <x:c r="H40" s="83" t="str">
        <x:v>E-BET</x:v>
      </x:c>
      <x:c r="I40" s="83" t="str">
        <x:v>Drilling.Common/Interface/Serial/CBeamExpander.cs</x:v>
      </x:c>
      <x:c r="J40" s="83" t="str">
        <x:v>CBeamExpander</x:v>
      </x:c>
      <x:c r="K40" s="83" t="str">
        <x:v>Execute</x:v>
      </x:c>
      <x:c r="L40" s="83" t="str">
        <x:v>부분 반영</x:v>
      </x:c>
      <x:c r="M40" s="84" t="n">
        <x:v>0.75</x:v>
      </x:c>
      <x:c r="N40" s="83" t="str">
        <x:v>일부 구현은 확인되나 실장비 연동, Timeout/Alarm/Recovery, 저장·복원 또는 고객 수용시험 증빙이 부족</x:v>
      </x:c>
    </x:row>
    <x:row r="41" ht="42" customHeight="1">
      <x:c r="A41" s="83" t="str">
        <x:v>AM-004</x:v>
      </x:c>
      <x:c r="B41" s="83" t="str">
        <x:v>광학계 상태 모니터링</x:v>
      </x:c>
      <x:c r="C41" s="83" t="n">
        <x:v>29</x:v>
      </x:c>
      <x:c r="D41" s="83" t="str">
        <x:v>통신</x:v>
      </x:c>
      <x:c r="E41" s="83" t="str">
        <x:v>BET 연동 기능 구현</x:v>
      </x:c>
      <x:c r="F41" s="83" t="str">
        <x:v>09-02</x:v>
      </x:c>
      <x:c r="G41" s="83" t="str">
        <x:v>Optics 동작·Recipe 연계</x:v>
      </x:c>
      <x:c r="H41" s="83" t="str">
        <x:v>E-BET</x:v>
      </x:c>
      <x:c r="I41" s="83" t="str">
        <x:v>Drilling.Common/Interface/Serial/CBeamExpander.cs</x:v>
      </x:c>
      <x:c r="J41" s="83" t="str">
        <x:v>CBeamExpander</x:v>
      </x:c>
      <x:c r="K41" s="83" t="str">
        <x:v>Execute</x:v>
      </x:c>
      <x:c r="L41" s="83" t="str">
        <x:v>부분 반영</x:v>
      </x:c>
      <x:c r="M41" s="84" t="n">
        <x:v>0.75</x:v>
      </x:c>
      <x:c r="N41" s="83" t="str">
        <x:v>일부 구현은 확인되나 실장비 연동, Timeout/Alarm/Recovery, 저장·복원 또는 고객 수용시험 증빙이 부족</x:v>
      </x:c>
    </x:row>
    <x:row r="42" ht="42" customHeight="1">
      <x:c r="A42" s="83" t="str">
        <x:v>AM-004</x:v>
      </x:c>
      <x:c r="B42" s="83" t="str">
        <x:v>광학계 상태 모니터링</x:v>
      </x:c>
      <x:c r="C42" s="83" t="n">
        <x:v>30</x:v>
      </x:c>
      <x:c r="D42" s="83" t="str">
        <x:v>통신</x:v>
      </x:c>
      <x:c r="E42" s="83" t="str">
        <x:v>CONDEX-APG(Attenuator) 연동 기능 구현</x:v>
      </x:c>
      <x:c r="F42" s="83" t="str">
        <x:v>02-06</x:v>
      </x:c>
      <x:c r="G42" s="83" t="str">
        <x:v>Optics·Power·Correction 화면</x:v>
      </x:c>
      <x:c r="H42" s="83" t="str">
        <x:v>E-ATT</x:v>
      </x:c>
      <x:c r="I42" s="83" t="str">
        <x:v>Drilling.Common/Interface/Serial/CConex_AGP.cs</x:v>
      </x:c>
      <x:c r="J42" s="83" t="str">
        <x:v>CConex_AGP</x:v>
      </x:c>
      <x:c r="K42" s="83" t="str">
        <x:v>Execute</x:v>
      </x:c>
      <x:c r="L42" s="83" t="str">
        <x:v>부분 반영</x:v>
      </x:c>
      <x:c r="M42" s="84" t="n">
        <x:v>0.75</x:v>
      </x:c>
      <x:c r="N42" s="83" t="str">
        <x:v>일부 구현은 확인되나 실장비 연동, Timeout/Alarm/Recovery, 저장·복원 또는 고객 수용시험 증빙이 부족</x:v>
      </x:c>
    </x:row>
    <x:row r="43" ht="42" customHeight="1">
      <x:c r="A43" s="83" t="str">
        <x:v>AM-004</x:v>
      </x:c>
      <x:c r="B43" s="83" t="str">
        <x:v>광학계 상태 모니터링</x:v>
      </x:c>
      <x:c r="C43" s="83" t="n">
        <x:v>30</x:v>
      </x:c>
      <x:c r="D43" s="83" t="str">
        <x:v>통신</x:v>
      </x:c>
      <x:c r="E43" s="83" t="str">
        <x:v>CONDEX-APG(Attenuator) 연동 기능 구현</x:v>
      </x:c>
      <x:c r="F43" s="83" t="str">
        <x:v>09-02</x:v>
      </x:c>
      <x:c r="G43" s="83" t="str">
        <x:v>Optics 동작·Recipe 연계</x:v>
      </x:c>
      <x:c r="H43" s="83" t="str">
        <x:v>E-ATT</x:v>
      </x:c>
      <x:c r="I43" s="83" t="str">
        <x:v>Drilling.Common/Interface/Serial/CConex_AGP.cs</x:v>
      </x:c>
      <x:c r="J43" s="83" t="str">
        <x:v>CConex_AGP</x:v>
      </x:c>
      <x:c r="K43" s="83" t="str">
        <x:v>Execute</x:v>
      </x:c>
      <x:c r="L43" s="83" t="str">
        <x:v>부분 반영</x:v>
      </x:c>
      <x:c r="M43" s="84" t="n">
        <x:v>0.75</x:v>
      </x:c>
      <x:c r="N43" s="83" t="str">
        <x:v>일부 구현은 확인되나 실장비 연동, Timeout/Alarm/Recovery, 저장·복원 또는 고객 수용시험 증빙이 부족</x:v>
      </x:c>
    </x:row>
    <x:row r="44" ht="42" customHeight="1">
      <x:c r="A44" s="83" t="str">
        <x:v>AM-004</x:v>
      </x:c>
      <x:c r="B44" s="83" t="str">
        <x:v>광학계 상태 모니터링</x:v>
      </x:c>
      <x:c r="C44" s="83" t="n">
        <x:v>31</x:v>
      </x:c>
      <x:c r="D44" s="83" t="str">
        <x:v>통신</x:v>
      </x:c>
      <x:c r="E44" s="83" t="str">
        <x:v>PowerMeter 연동 기능 구현</x:v>
      </x:c>
      <x:c r="F44" s="83" t="str">
        <x:v>02-06</x:v>
      </x:c>
      <x:c r="G44" s="83" t="str">
        <x:v>Optics·Power·Correction 화면</x:v>
      </x:c>
      <x:c r="H44" s="83" t="str">
        <x:v>E-POWERMETER</x:v>
      </x:c>
      <x:c r="I44" s="83" t="str">
        <x:v>Drilling.Common/Interface/Serial/CPowerMeter.cs</x:v>
      </x:c>
      <x:c r="J44" s="83" t="str">
        <x:v>CPowerMeter</x:v>
      </x:c>
      <x:c r="K44" s="83" t="str">
        <x:v>Execute</x:v>
      </x:c>
      <x:c r="L44" s="83" t="str">
        <x:v>부분 반영</x:v>
      </x:c>
      <x:c r="M44" s="84" t="n">
        <x:v>0.75</x:v>
      </x:c>
      <x:c r="N44" s="83" t="str">
        <x:v>일부 구현은 확인되나 실장비 연동, Timeout/Alarm/Recovery, 저장·복원 또는 고객 수용시험 증빙이 부족</x:v>
      </x:c>
    </x:row>
    <x:row r="45" ht="42" customHeight="1">
      <x:c r="A45" s="83" t="str">
        <x:v>AM-004</x:v>
      </x:c>
      <x:c r="B45" s="83" t="str">
        <x:v>광학계 상태 모니터링</x:v>
      </x:c>
      <x:c r="C45" s="83" t="n">
        <x:v>31</x:v>
      </x:c>
      <x:c r="D45" s="83" t="str">
        <x:v>통신</x:v>
      </x:c>
      <x:c r="E45" s="83" t="str">
        <x:v>PowerMeter 연동 기능 구현</x:v>
      </x:c>
      <x:c r="F45" s="83" t="str">
        <x:v>09-02</x:v>
      </x:c>
      <x:c r="G45" s="83" t="str">
        <x:v>Optics 동작·Recipe 연계</x:v>
      </x:c>
      <x:c r="H45" s="83" t="str">
        <x:v>E-POWERMETER</x:v>
      </x:c>
      <x:c r="I45" s="83" t="str">
        <x:v>Drilling.Common/Interface/Serial/CPowerMeter.cs</x:v>
      </x:c>
      <x:c r="J45" s="83" t="str">
        <x:v>CPowerMeter</x:v>
      </x:c>
      <x:c r="K45" s="83" t="str">
        <x:v>Execute</x:v>
      </x:c>
      <x:c r="L45" s="83" t="str">
        <x:v>부분 반영</x:v>
      </x:c>
      <x:c r="M45" s="84" t="n">
        <x:v>0.75</x:v>
      </x:c>
      <x:c r="N45" s="83" t="str">
        <x:v>일부 구현은 확인되나 실장비 연동, Timeout/Alarm/Recovery, 저장·복원 또는 고객 수용시험 증빙이 부족</x:v>
      </x:c>
    </x:row>
    <x:row r="46" ht="42" customHeight="1">
      <x:c r="A46" s="83" t="str">
        <x:v>AM-004</x:v>
      </x:c>
      <x:c r="B46" s="83" t="str">
        <x:v>광학계 상태 모니터링</x:v>
      </x:c>
      <x:c r="C46" s="83" t="n">
        <x:v>102</x:v>
      </x:c>
      <x:c r="D46" s="83" t="str">
        <x:v>기능</x:v>
      </x:c>
      <x:c r="E46" s="83" t="str">
        <x:v>Monitoring - ATT 단위 동작 구현</x:v>
      </x:c>
      <x:c r="F46" s="83" t="str">
        <x:v>02-06</x:v>
      </x:c>
      <x:c r="G46" s="83" t="str">
        <x:v>Optics·Power·Correction 화면</x:v>
      </x:c>
      <x:c r="H46" s="83" t="str">
        <x:v>E-ATT</x:v>
      </x:c>
      <x:c r="I46" s="83" t="str">
        <x:v>Drilling.Common/Interface/Serial/CConex_AGP.cs</x:v>
      </x:c>
      <x:c r="J46" s="83" t="str">
        <x:v>CConex_AGP</x:v>
      </x:c>
      <x:c r="K46" s="83" t="str">
        <x:v>Execute</x:v>
      </x:c>
      <x:c r="L46" s="83" t="str">
        <x:v>부분 반영</x:v>
      </x:c>
      <x:c r="M46" s="84" t="n">
        <x:v>0.75</x:v>
      </x:c>
      <x:c r="N46" s="83" t="str">
        <x:v>일부 구현은 확인되나 실장비 연동, Timeout/Alarm/Recovery, 저장·복원 또는 고객 수용시험 증빙이 부족</x:v>
      </x:c>
    </x:row>
    <x:row r="47" ht="42" customHeight="1">
      <x:c r="A47" s="83" t="str">
        <x:v>AM-004</x:v>
      </x:c>
      <x:c r="B47" s="83" t="str">
        <x:v>광학계 상태 모니터링</x:v>
      </x:c>
      <x:c r="C47" s="83" t="n">
        <x:v>102</x:v>
      </x:c>
      <x:c r="D47" s="83" t="str">
        <x:v>기능</x:v>
      </x:c>
      <x:c r="E47" s="83" t="str">
        <x:v>Monitoring - ATT 단위 동작 구현</x:v>
      </x:c>
      <x:c r="F47" s="83" t="str">
        <x:v>09-02</x:v>
      </x:c>
      <x:c r="G47" s="83" t="str">
        <x:v>Optics 동작·Recipe 연계</x:v>
      </x:c>
      <x:c r="H47" s="83" t="str">
        <x:v>E-ATT</x:v>
      </x:c>
      <x:c r="I47" s="83" t="str">
        <x:v>Drilling.Common/Interface/Serial/CConex_AGP.cs</x:v>
      </x:c>
      <x:c r="J47" s="83" t="str">
        <x:v>CConex_AGP</x:v>
      </x:c>
      <x:c r="K47" s="83" t="str">
        <x:v>Execute</x:v>
      </x:c>
      <x:c r="L47" s="83" t="str">
        <x:v>부분 반영</x:v>
      </x:c>
      <x:c r="M47" s="84" t="n">
        <x:v>0.75</x:v>
      </x:c>
      <x:c r="N47" s="83" t="str">
        <x:v>일부 구현은 확인되나 실장비 연동, Timeout/Alarm/Recovery, 저장·복원 또는 고객 수용시험 증빙이 부족</x:v>
      </x:c>
    </x:row>
    <x:row r="48" ht="42" customHeight="1">
      <x:c r="A48" s="83" t="str">
        <x:v>AM-004</x:v>
      </x:c>
      <x:c r="B48" s="83" t="str">
        <x:v>광학계 상태 모니터링</x:v>
      </x:c>
      <x:c r="C48" s="83" t="n">
        <x:v>103</x:v>
      </x:c>
      <x:c r="D48" s="83" t="str">
        <x:v>기능</x:v>
      </x:c>
      <x:c r="E48" s="83" t="str">
        <x:v>Monitoring - BET 단위 동작 구현</x:v>
      </x:c>
      <x:c r="F48" s="83" t="str">
        <x:v>02-06</x:v>
      </x:c>
      <x:c r="G48" s="83" t="str">
        <x:v>Optics·Power·Correction 화면</x:v>
      </x:c>
      <x:c r="H48" s="83" t="str">
        <x:v>E-BET</x:v>
      </x:c>
      <x:c r="I48" s="83" t="str">
        <x:v>Drilling.Common/Interface/Serial/CBeamExpander.cs</x:v>
      </x:c>
      <x:c r="J48" s="83" t="str">
        <x:v>CBeamExpander</x:v>
      </x:c>
      <x:c r="K48" s="83" t="str">
        <x:v>Execute</x:v>
      </x:c>
      <x:c r="L48" s="83" t="str">
        <x:v>부분 반영</x:v>
      </x:c>
      <x:c r="M48" s="84" t="n">
        <x:v>0.75</x:v>
      </x:c>
      <x:c r="N48" s="83" t="str">
        <x:v>일부 구현은 확인되나 실장비 연동, Timeout/Alarm/Recovery, 저장·복원 또는 고객 수용시험 증빙이 부족</x:v>
      </x:c>
    </x:row>
    <x:row r="49" ht="42" customHeight="1">
      <x:c r="A49" s="83" t="str">
        <x:v>AM-004</x:v>
      </x:c>
      <x:c r="B49" s="83" t="str">
        <x:v>광학계 상태 모니터링</x:v>
      </x:c>
      <x:c r="C49" s="83" t="n">
        <x:v>103</x:v>
      </x:c>
      <x:c r="D49" s="83" t="str">
        <x:v>기능</x:v>
      </x:c>
      <x:c r="E49" s="83" t="str">
        <x:v>Monitoring - BET 단위 동작 구현</x:v>
      </x:c>
      <x:c r="F49" s="83" t="str">
        <x:v>09-02</x:v>
      </x:c>
      <x:c r="G49" s="83" t="str">
        <x:v>Optics 동작·Recipe 연계</x:v>
      </x:c>
      <x:c r="H49" s="83" t="str">
        <x:v>E-BET</x:v>
      </x:c>
      <x:c r="I49" s="83" t="str">
        <x:v>Drilling.Common/Interface/Serial/CBeamExpander.cs</x:v>
      </x:c>
      <x:c r="J49" s="83" t="str">
        <x:v>CBeamExpander</x:v>
      </x:c>
      <x:c r="K49" s="83" t="str">
        <x:v>Execute</x:v>
      </x:c>
      <x:c r="L49" s="83" t="str">
        <x:v>부분 반영</x:v>
      </x:c>
      <x:c r="M49" s="84" t="n">
        <x:v>0.75</x:v>
      </x:c>
      <x:c r="N49" s="83" t="str">
        <x:v>일부 구현은 확인되나 실장비 연동, Timeout/Alarm/Recovery, 저장·복원 또는 고객 수용시험 증빙이 부족</x:v>
      </x:c>
    </x:row>
    <x:row r="50" ht="42" customHeight="1">
      <x:c r="A50" s="83" t="str">
        <x:v>AM-004</x:v>
      </x:c>
      <x:c r="B50" s="83" t="str">
        <x:v>광학계 상태 모니터링</x:v>
      </x:c>
      <x:c r="C50" s="83" t="n">
        <x:v>104</x:v>
      </x:c>
      <x:c r="D50" s="83" t="str">
        <x:v>기능</x:v>
      </x:c>
      <x:c r="E50" s="83" t="str">
        <x:v>Monitoring - Laser 단위 동작 구현</x:v>
      </x:c>
      <x:c r="F50" s="83" t="str">
        <x:v>02-06</x:v>
      </x:c>
      <x:c r="G50" s="83" t="str">
        <x:v>Optics·Power·Correction 화면</x:v>
      </x:c>
      <x:c r="H50" s="83" t="str">
        <x:v>E-LASER</x:v>
      </x:c>
      <x:c r="I50" s="83" t="str">
        <x:v>Drilling.Common/Interface/Serial/CTalonLaser.cs</x:v>
      </x:c>
      <x:c r="J50" s="83" t="str">
        <x:v>CTalonLaser</x:v>
      </x:c>
      <x:c r="K50" s="83" t="str">
        <x:v>Execute</x:v>
      </x:c>
      <x:c r="L50" s="83" t="str">
        <x:v>부분 반영</x:v>
      </x:c>
      <x:c r="M50" s="84" t="n">
        <x:v>0.75</x:v>
      </x:c>
      <x:c r="N50" s="83" t="str">
        <x:v>일부 구현은 확인되나 실장비 연동, Timeout/Alarm/Recovery, 저장·복원 또는 고객 수용시험 증빙이 부족</x:v>
      </x:c>
    </x:row>
    <x:row r="51" ht="42" customHeight="1">
      <x:c r="A51" s="83" t="str">
        <x:v>AM-004</x:v>
      </x:c>
      <x:c r="B51" s="83" t="str">
        <x:v>광학계 상태 모니터링</x:v>
      </x:c>
      <x:c r="C51" s="83" t="n">
        <x:v>104</x:v>
      </x:c>
      <x:c r="D51" s="83" t="str">
        <x:v>기능</x:v>
      </x:c>
      <x:c r="E51" s="83" t="str">
        <x:v>Monitoring - Laser 단위 동작 구현</x:v>
      </x:c>
      <x:c r="F51" s="83" t="str">
        <x:v>09-02</x:v>
      </x:c>
      <x:c r="G51" s="83" t="str">
        <x:v>Optics 동작·Recipe 연계</x:v>
      </x:c>
      <x:c r="H51" s="83" t="str">
        <x:v>E-LASER</x:v>
      </x:c>
      <x:c r="I51" s="83" t="str">
        <x:v>Drilling.Common/Interface/Serial/CTalonLaser.cs</x:v>
      </x:c>
      <x:c r="J51" s="83" t="str">
        <x:v>CTalonLaser</x:v>
      </x:c>
      <x:c r="K51" s="83" t="str">
        <x:v>Execute</x:v>
      </x:c>
      <x:c r="L51" s="83" t="str">
        <x:v>부분 반영</x:v>
      </x:c>
      <x:c r="M51" s="84" t="n">
        <x:v>0.75</x:v>
      </x:c>
      <x:c r="N51" s="83" t="str">
        <x:v>일부 구현은 확인되나 실장비 연동, Timeout/Alarm/Recovery, 저장·복원 또는 고객 수용시험 증빙이 부족</x:v>
      </x:c>
    </x:row>
    <x:row r="52" ht="42" customHeight="1">
      <x:c r="A52" s="83" t="str">
        <x:v>AM-004</x:v>
      </x:c>
      <x:c r="B52" s="83" t="str">
        <x:v>광학계 상태 모니터링</x:v>
      </x:c>
      <x:c r="C52" s="83" t="n">
        <x:v>105</x:v>
      </x:c>
      <x:c r="D52" s="83" t="str">
        <x:v>기능</x:v>
      </x:c>
      <x:c r="E52" s="83" t="str">
        <x:v>Monitoring - PowerMeter 단위 동작 구현</x:v>
      </x:c>
      <x:c r="F52" s="83" t="str">
        <x:v>02-06</x:v>
      </x:c>
      <x:c r="G52" s="83" t="str">
        <x:v>Optics·Power·Correction 화면</x:v>
      </x:c>
      <x:c r="H52" s="83" t="str">
        <x:v>E-POWERMETER</x:v>
      </x:c>
      <x:c r="I52" s="83" t="str">
        <x:v>Drilling.Common/Interface/Serial/CPowerMeter.cs</x:v>
      </x:c>
      <x:c r="J52" s="83" t="str">
        <x:v>CPowerMeter</x:v>
      </x:c>
      <x:c r="K52" s="83" t="str">
        <x:v>Execute</x:v>
      </x:c>
      <x:c r="L52" s="83" t="str">
        <x:v>부분 반영</x:v>
      </x:c>
      <x:c r="M52" s="84" t="n">
        <x:v>0.75</x:v>
      </x:c>
      <x:c r="N52" s="83" t="str">
        <x:v>일부 구현은 확인되나 실장비 연동, Timeout/Alarm/Recovery, 저장·복원 또는 고객 수용시험 증빙이 부족</x:v>
      </x:c>
    </x:row>
    <x:row r="53" ht="42" customHeight="1">
      <x:c r="A53" s="83" t="str">
        <x:v>AM-004</x:v>
      </x:c>
      <x:c r="B53" s="83" t="str">
        <x:v>광학계 상태 모니터링</x:v>
      </x:c>
      <x:c r="C53" s="83" t="n">
        <x:v>105</x:v>
      </x:c>
      <x:c r="D53" s="83" t="str">
        <x:v>기능</x:v>
      </x:c>
      <x:c r="E53" s="83" t="str">
        <x:v>Monitoring - PowerMeter 단위 동작 구현</x:v>
      </x:c>
      <x:c r="F53" s="83" t="str">
        <x:v>09-02</x:v>
      </x:c>
      <x:c r="G53" s="83" t="str">
        <x:v>Optics 동작·Recipe 연계</x:v>
      </x:c>
      <x:c r="H53" s="83" t="str">
        <x:v>E-POWERMETER</x:v>
      </x:c>
      <x:c r="I53" s="83" t="str">
        <x:v>Drilling.Common/Interface/Serial/CPowerMeter.cs</x:v>
      </x:c>
      <x:c r="J53" s="83" t="str">
        <x:v>CPowerMeter</x:v>
      </x:c>
      <x:c r="K53" s="83" t="str">
        <x:v>Execute</x:v>
      </x:c>
      <x:c r="L53" s="83" t="str">
        <x:v>부분 반영</x:v>
      </x:c>
      <x:c r="M53" s="84" t="n">
        <x:v>0.75</x:v>
      </x:c>
      <x:c r="N53" s="83" t="str">
        <x:v>일부 구현은 확인되나 실장비 연동, Timeout/Alarm/Recovery, 저장·복원 또는 고객 수용시험 증빙이 부족</x:v>
      </x:c>
    </x:row>
    <x:row r="54" ht="42" customHeight="1">
      <x:c r="A54" s="83" t="str">
        <x:v>AM-005</x:v>
      </x:c>
      <x:c r="B54" s="83" t="str">
        <x:v>Align 결과 모니터링</x:v>
      </x:c>
      <x:c r="C54" s="83" t="n">
        <x:v>87</x:v>
      </x:c>
      <x:c r="D54" s="83" t="str">
        <x:v>기능</x:v>
      </x:c>
      <x:c r="E54" s="83" t="str">
        <x:v>Align 기능 구현</x:v>
      </x:c>
      <x:c r="F54" s="83" t="str">
        <x:v>07-01</x:v>
      </x:c>
      <x:c r="G54" s="83" t="str">
        <x:v>Cell Align·좌표생성</x:v>
      </x:c>
      <x:c r="H54" s="83" t="str">
        <x:v>E-REVIEW</x:v>
      </x:c>
      <x:c r="I54" s="83" t="str">
        <x:v>Drilling.Common/Review/CReviewManager.cs</x:v>
      </x:c>
      <x:c r="J54" s="83" t="str">
        <x:v>CReviewManager</x:v>
      </x:c>
      <x:c r="K54" s="83" t="str">
        <x:v>CreatePlan</x:v>
      </x:c>
      <x:c r="L54" s="83" t="str">
        <x:v>부분 반영</x:v>
      </x:c>
      <x:c r="M54" s="84" t="n">
        <x:v>0.76</x:v>
      </x:c>
      <x:c r="N54" s="83" t="str">
        <x:v>일부 구현은 확인되나 실장비 연동, Timeout/Alarm/Recovery, 저장·복원 또는 고객 수용시험 증빙이 부족</x:v>
      </x:c>
    </x:row>
    <x:row r="55" ht="42" customHeight="1">
      <x:c r="A55" s="83" t="str">
        <x:v>AM-005</x:v>
      </x:c>
      <x:c r="B55" s="83" t="str">
        <x:v>Align 결과 모니터링</x:v>
      </x:c>
      <x:c r="C55" s="83" t="n">
        <x:v>87</x:v>
      </x:c>
      <x:c r="D55" s="83" t="str">
        <x:v>기능</x:v>
      </x:c>
      <x:c r="E55" s="83" t="str">
        <x:v>Align 기능 구현</x:v>
      </x:c>
      <x:c r="F55" s="83" t="str">
        <x:v>08-04</x:v>
      </x:c>
      <x:c r="G55" s="83" t="str">
        <x:v>Scanner Mapping</x:v>
      </x:c>
      <x:c r="H55" s="83" t="str">
        <x:v>E-REVIEW</x:v>
      </x:c>
      <x:c r="I55" s="83" t="str">
        <x:v>Drilling.Common/Review/CReviewManager.cs</x:v>
      </x:c>
      <x:c r="J55" s="83" t="str">
        <x:v>CReviewManager</x:v>
      </x:c>
      <x:c r="K55" s="83" t="str">
        <x:v>CreatePlan</x:v>
      </x:c>
      <x:c r="L55" s="83" t="str">
        <x:v>부분 반영</x:v>
      </x:c>
      <x:c r="M55" s="84" t="n">
        <x:v>0.76</x:v>
      </x:c>
      <x:c r="N55" s="83" t="str">
        <x:v>일부 구현은 확인되나 실장비 연동, Timeout/Alarm/Recovery, 저장·복원 또는 고객 수용시험 증빙이 부족</x:v>
      </x:c>
    </x:row>
    <x:row r="56" ht="42" customHeight="1">
      <x:c r="A56" s="83" t="str">
        <x:v>AM-005</x:v>
      </x:c>
      <x:c r="B56" s="83" t="str">
        <x:v>Align 결과 모니터링</x:v>
      </x:c>
      <x:c r="C56" s="83" t="n">
        <x:v>88</x:v>
      </x:c>
      <x:c r="D56" s="83" t="str">
        <x:v>기능</x:v>
      </x:c>
      <x:c r="E56" s="83" t="str">
        <x:v>Align - Offset 적용 기능 구현</x:v>
      </x:c>
      <x:c r="F56" s="83" t="str">
        <x:v>07-01</x:v>
      </x:c>
      <x:c r="G56" s="83" t="str">
        <x:v>Cell Align·좌표생성</x:v>
      </x:c>
      <x:c r="H56" s="83" t="str">
        <x:v>E-REVIEW</x:v>
      </x:c>
      <x:c r="I56" s="83" t="str">
        <x:v>Drilling.Common/Review/CReviewManager.cs</x:v>
      </x:c>
      <x:c r="J56" s="83" t="str">
        <x:v>CReviewManager</x:v>
      </x:c>
      <x:c r="K56" s="83" t="str">
        <x:v>CreatePlan</x:v>
      </x:c>
      <x:c r="L56" s="83" t="str">
        <x:v>부분 반영</x:v>
      </x:c>
      <x:c r="M56" s="84" t="n">
        <x:v>0.76</x:v>
      </x:c>
      <x:c r="N56" s="83" t="str">
        <x:v>일부 구현은 확인되나 실장비 연동, Timeout/Alarm/Recovery, 저장·복원 또는 고객 수용시험 증빙이 부족</x:v>
      </x:c>
    </x:row>
    <x:row r="57" ht="42" customHeight="1">
      <x:c r="A57" s="83" t="str">
        <x:v>AM-005</x:v>
      </x:c>
      <x:c r="B57" s="83" t="str">
        <x:v>Align 결과 모니터링</x:v>
      </x:c>
      <x:c r="C57" s="83" t="n">
        <x:v>88</x:v>
      </x:c>
      <x:c r="D57" s="83" t="str">
        <x:v>기능</x:v>
      </x:c>
      <x:c r="E57" s="83" t="str">
        <x:v>Align - Offset 적용 기능 구현</x:v>
      </x:c>
      <x:c r="F57" s="83" t="str">
        <x:v>08-04</x:v>
      </x:c>
      <x:c r="G57" s="83" t="str">
        <x:v>Scanner Mapping</x:v>
      </x:c>
      <x:c r="H57" s="83" t="str">
        <x:v>E-REVIEW</x:v>
      </x:c>
      <x:c r="I57" s="83" t="str">
        <x:v>Drilling.Common/Review/CReviewManager.cs</x:v>
      </x:c>
      <x:c r="J57" s="83" t="str">
        <x:v>CReviewManager</x:v>
      </x:c>
      <x:c r="K57" s="83" t="str">
        <x:v>CreatePlan</x:v>
      </x:c>
      <x:c r="L57" s="83" t="str">
        <x:v>부분 반영</x:v>
      </x:c>
      <x:c r="M57" s="84" t="n">
        <x:v>0.76</x:v>
      </x:c>
      <x:c r="N57" s="83" t="str">
        <x:v>일부 구현은 확인되나 실장비 연동, Timeout/Alarm/Recovery, 저장·복원 또는 고객 수용시험 증빙이 부족</x:v>
      </x:c>
    </x:row>
    <x:row r="58" ht="42" customHeight="1">
      <x:c r="A58" s="83" t="str">
        <x:v>AM-005</x:v>
      </x:c>
      <x:c r="B58" s="83" t="str">
        <x:v>Align 결과 모니터링</x:v>
      </x:c>
      <x:c r="C58" s="83" t="n">
        <x:v>113</x:v>
      </x:c>
      <x:c r="D58" s="83" t="str">
        <x:v>기능</x:v>
      </x:c>
      <x:c r="E58" s="83" t="str">
        <x:v>Distortion Key 6개 - 데이터 모델 반영 구현</x:v>
      </x:c>
      <x:c r="F58" s="83" t="str">
        <x:v>07-01</x:v>
      </x:c>
      <x:c r="G58" s="83" t="str">
        <x:v>Cell Align·좌표생성</x:v>
      </x:c>
      <x:c r="H58" s="83" t="str">
        <x:v>E-DISTORTION</x:v>
      </x:c>
      <x:c r="I58" s="83" t="str">
        <x:v>Drilling.UI/Menu/Menus/CMenuRecipe.cs</x:v>
      </x:c>
      <x:c r="J58" s="83" t="str">
        <x:v>CMenuRecipe</x:v>
      </x:c>
      <x:c r="K58" s="83" t="str">
        <x:v>DISTORTION_KEY</x:v>
      </x:c>
      <x:c r="L58" s="83" t="str">
        <x:v>부분 반영</x:v>
      </x:c>
      <x:c r="M58" s="84" t="n">
        <x:v>0.76</x:v>
      </x:c>
      <x:c r="N58" s="83" t="str">
        <x:v>일부 구현은 확인되나 실장비 연동, Timeout/Alarm/Recovery, 저장·복원 또는 고객 수용시험 증빙이 부족</x:v>
      </x:c>
    </x:row>
    <x:row r="59" ht="42" customHeight="1">
      <x:c r="A59" s="83" t="str">
        <x:v>AM-005</x:v>
      </x:c>
      <x:c r="B59" s="83" t="str">
        <x:v>Align 결과 모니터링</x:v>
      </x:c>
      <x:c r="C59" s="83" t="n">
        <x:v>113</x:v>
      </x:c>
      <x:c r="D59" s="83" t="str">
        <x:v>기능</x:v>
      </x:c>
      <x:c r="E59" s="83" t="str">
        <x:v>Distortion Key 6개 - 데이터 모델 반영 구현</x:v>
      </x:c>
      <x:c r="F59" s="83" t="str">
        <x:v>08-04</x:v>
      </x:c>
      <x:c r="G59" s="83" t="str">
        <x:v>Scanner Mapping</x:v>
      </x:c>
      <x:c r="H59" s="83" t="str">
        <x:v>E-DISTORTION</x:v>
      </x:c>
      <x:c r="I59" s="83" t="str">
        <x:v>Drilling.UI/Menu/Menus/CMenuRecipe.cs</x:v>
      </x:c>
      <x:c r="J59" s="83" t="str">
        <x:v>CMenuRecipe</x:v>
      </x:c>
      <x:c r="K59" s="83" t="str">
        <x:v>DISTORTION_KEY</x:v>
      </x:c>
      <x:c r="L59" s="83" t="str">
        <x:v>부분 반영</x:v>
      </x:c>
      <x:c r="M59" s="84" t="n">
        <x:v>0.76</x:v>
      </x:c>
      <x:c r="N59" s="83" t="str">
        <x:v>일부 구현은 확인되나 실장비 연동, Timeout/Alarm/Recovery, 저장·복원 또는 고객 수용시험 증빙이 부족</x:v>
      </x:c>
    </x:row>
    <x:row r="60" ht="42" customHeight="1">
      <x:c r="A60" s="83" t="str">
        <x:v>AM-005</x:v>
      </x:c>
      <x:c r="B60" s="83" t="str">
        <x:v>Align 결과 모니터링</x:v>
      </x:c>
      <x:c r="C60" s="83" t="n">
        <x:v>114</x:v>
      </x:c>
      <x:c r="D60" s="83" t="str">
        <x:v>기능</x:v>
      </x:c>
      <x:c r="E60" s="83" t="str">
        <x:v>Distortion Key 6개 - UI 반영 구현</x:v>
      </x:c>
      <x:c r="F60" s="83" t="str">
        <x:v>07-01</x:v>
      </x:c>
      <x:c r="G60" s="83" t="str">
        <x:v>Cell Align·좌표생성</x:v>
      </x:c>
      <x:c r="H60" s="83" t="str">
        <x:v>E-DISTORTION</x:v>
      </x:c>
      <x:c r="I60" s="83" t="str">
        <x:v>Drilling.UI/Menu/Menus/CMenuRecipe.cs</x:v>
      </x:c>
      <x:c r="J60" s="83" t="str">
        <x:v>CMenuRecipe</x:v>
      </x:c>
      <x:c r="K60" s="83" t="str">
        <x:v>DISTORTION_KEY</x:v>
      </x:c>
      <x:c r="L60" s="83" t="str">
        <x:v>부분 반영</x:v>
      </x:c>
      <x:c r="M60" s="84" t="n">
        <x:v>0.76</x:v>
      </x:c>
      <x:c r="N60" s="83" t="str">
        <x:v>일부 구현은 확인되나 실장비 연동, Timeout/Alarm/Recovery, 저장·복원 또는 고객 수용시험 증빙이 부족</x:v>
      </x:c>
    </x:row>
    <x:row r="61" ht="42" customHeight="1">
      <x:c r="A61" s="83" t="str">
        <x:v>AM-005</x:v>
      </x:c>
      <x:c r="B61" s="83" t="str">
        <x:v>Align 결과 모니터링</x:v>
      </x:c>
      <x:c r="C61" s="83" t="n">
        <x:v>114</x:v>
      </x:c>
      <x:c r="D61" s="83" t="str">
        <x:v>기능</x:v>
      </x:c>
      <x:c r="E61" s="83" t="str">
        <x:v>Distortion Key 6개 - UI 반영 구현</x:v>
      </x:c>
      <x:c r="F61" s="83" t="str">
        <x:v>08-04</x:v>
      </x:c>
      <x:c r="G61" s="83" t="str">
        <x:v>Scanner Mapping</x:v>
      </x:c>
      <x:c r="H61" s="83" t="str">
        <x:v>E-DISTORTION</x:v>
      </x:c>
      <x:c r="I61" s="83" t="str">
        <x:v>Drilling.UI/Menu/Menus/CMenuRecipe.cs</x:v>
      </x:c>
      <x:c r="J61" s="83" t="str">
        <x:v>CMenuRecipe</x:v>
      </x:c>
      <x:c r="K61" s="83" t="str">
        <x:v>DISTORTION_KEY</x:v>
      </x:c>
      <x:c r="L61" s="83" t="str">
        <x:v>부분 반영</x:v>
      </x:c>
      <x:c r="M61" s="84" t="n">
        <x:v>0.76</x:v>
      </x:c>
      <x:c r="N61" s="83" t="str">
        <x:v>일부 구현은 확인되나 실장비 연동, Timeout/Alarm/Recovery, 저장·복원 또는 고객 수용시험 증빙이 부족</x:v>
      </x:c>
    </x:row>
    <x:row r="62" ht="42" customHeight="1">
      <x:c r="A62" s="83" t="str">
        <x:v>AM-006</x:v>
      </x:c>
      <x:c r="B62" s="83" t="str">
        <x:v>Interface 상태 모니터링</x:v>
      </x:c>
      <x:c r="C62" s="83" t="n">
        <x:v>22</x:v>
      </x:c>
      <x:c r="D62" s="83" t="str">
        <x:v>통신</x:v>
      </x:c>
      <x:c r="E62" s="83" t="str">
        <x:v>Serial 통신 기능 구현</x:v>
      </x:c>
      <x:c r="F62" s="83" t="str">
        <x:v>03-07</x:v>
      </x:c>
      <x:c r="G62" s="83" t="str">
        <x:v>공통 Timeout·재연결 정책</x:v>
      </x:c>
      <x:c r="H62" s="83" t="str">
        <x:v>E-SERIAL</x:v>
      </x:c>
      <x:c r="I62" s="83" t="str">
        <x:v>Drilling.Common/Interface/Serial/CSerialComm.cs</x:v>
      </x:c>
      <x:c r="J62" s="83" t="str">
        <x:v>CSerialComm</x:v>
      </x:c>
      <x:c r="K62" s="83" t="str">
        <x:v>Open</x:v>
      </x:c>
      <x:c r="L62" s="83" t="str">
        <x:v>부분 반영</x:v>
      </x:c>
      <x:c r="M62" s="84" t="n">
        <x:v>0.8</x:v>
      </x:c>
      <x:c r="N62" s="83" t="str">
        <x:v>일부 구현은 확인되나 실장비 연동, Timeout/Alarm/Recovery, 저장·복원 또는 고객 수용시험 증빙이 부족</x:v>
      </x:c>
    </x:row>
    <x:row r="63" ht="42" customHeight="1">
      <x:c r="A63" s="83" t="str">
        <x:v>AM-006</x:v>
      </x:c>
      <x:c r="B63" s="83" t="str">
        <x:v>Interface 상태 모니터링</x:v>
      </x:c>
      <x:c r="C63" s="83" t="n">
        <x:v>22</x:v>
      </x:c>
      <x:c r="D63" s="83" t="str">
        <x:v>통신</x:v>
      </x:c>
      <x:c r="E63" s="83" t="str">
        <x:v>Serial 통신 기능 구현</x:v>
      </x:c>
      <x:c r="F63" s="83" t="str">
        <x:v>09-05</x:v>
      </x:c>
      <x:c r="G63" s="83" t="str">
        <x:v>Power/Optics 통합 검증</x:v>
      </x:c>
      <x:c r="H63" s="83" t="str">
        <x:v>E-SERIAL</x:v>
      </x:c>
      <x:c r="I63" s="83" t="str">
        <x:v>Drilling.Common/Interface/Serial/CSerialComm.cs</x:v>
      </x:c>
      <x:c r="J63" s="83" t="str">
        <x:v>CSerialComm</x:v>
      </x:c>
      <x:c r="K63" s="83" t="str">
        <x:v>Open</x:v>
      </x:c>
      <x:c r="L63" s="83" t="str">
        <x:v>부분 반영</x:v>
      </x:c>
      <x:c r="M63" s="84" t="n">
        <x:v>0.8</x:v>
      </x:c>
      <x:c r="N63" s="83" t="str">
        <x:v>일부 구현은 확인되나 실장비 연동, Timeout/Alarm/Recovery, 저장·복원 또는 고객 수용시험 증빙이 부족</x:v>
      </x:c>
    </x:row>
    <x:row r="64" ht="42" customHeight="1">
      <x:c r="A64" s="83" t="str">
        <x:v>AM-006</x:v>
      </x:c>
      <x:c r="B64" s="83" t="str">
        <x:v>Interface 상태 모니터링</x:v>
      </x:c>
      <x:c r="C64" s="83" t="n">
        <x:v>23</x:v>
      </x:c>
      <x:c r="D64" s="83" t="str">
        <x:v>통신</x:v>
      </x:c>
      <x:c r="E64" s="83" t="str">
        <x:v>Socket 통신 기능 구현</x:v>
      </x:c>
      <x:c r="F64" s="83" t="str">
        <x:v>03-07</x:v>
      </x:c>
      <x:c r="G64" s="83" t="str">
        <x:v>공통 Timeout·재연결 정책</x:v>
      </x:c>
      <x:c r="H64" s="83" t="str">
        <x:v>E-SOCKET</x:v>
      </x:c>
      <x:c r="I64" s="83" t="str">
        <x:v>Drilling.Common/Interface/Socket/CSocketComm.cs</x:v>
      </x:c>
      <x:c r="J64" s="83" t="str">
        <x:v>CSocketComm</x:v>
      </x:c>
      <x:c r="K64" s="83" t="str">
        <x:v>Connect</x:v>
      </x:c>
      <x:c r="L64" s="83" t="str">
        <x:v>부분 반영</x:v>
      </x:c>
      <x:c r="M64" s="84" t="n">
        <x:v>0.8</x:v>
      </x:c>
      <x:c r="N64" s="83" t="str">
        <x:v>일부 구현은 확인되나 실장비 연동, Timeout/Alarm/Recovery, 저장·복원 또는 고객 수용시험 증빙이 부족</x:v>
      </x:c>
    </x:row>
    <x:row r="65" ht="42" customHeight="1">
      <x:c r="A65" s="83" t="str">
        <x:v>AM-006</x:v>
      </x:c>
      <x:c r="B65" s="83" t="str">
        <x:v>Interface 상태 모니터링</x:v>
      </x:c>
      <x:c r="C65" s="83" t="n">
        <x:v>23</x:v>
      </x:c>
      <x:c r="D65" s="83" t="str">
        <x:v>통신</x:v>
      </x:c>
      <x:c r="E65" s="83" t="str">
        <x:v>Socket 통신 기능 구현</x:v>
      </x:c>
      <x:c r="F65" s="83" t="str">
        <x:v>09-05</x:v>
      </x:c>
      <x:c r="G65" s="83" t="str">
        <x:v>Power/Optics 통합 검증</x:v>
      </x:c>
      <x:c r="H65" s="83" t="str">
        <x:v>E-SOCKET</x:v>
      </x:c>
      <x:c r="I65" s="83" t="str">
        <x:v>Drilling.Common/Interface/Socket/CSocketComm.cs</x:v>
      </x:c>
      <x:c r="J65" s="83" t="str">
        <x:v>CSocketComm</x:v>
      </x:c>
      <x:c r="K65" s="83" t="str">
        <x:v>Connect</x:v>
      </x:c>
      <x:c r="L65" s="83" t="str">
        <x:v>부분 반영</x:v>
      </x:c>
      <x:c r="M65" s="84" t="n">
        <x:v>0.8</x:v>
      </x:c>
      <x:c r="N65" s="83" t="str">
        <x:v>일부 구현은 확인되나 실장비 연동, Timeout/Alarm/Recovery, 저장·복원 또는 고객 수용시험 증빙이 부족</x:v>
      </x:c>
    </x:row>
    <x:row r="66" ht="42" customHeight="1">
      <x:c r="A66" s="83" t="str">
        <x:v>AM-006</x:v>
      </x:c>
      <x:c r="B66" s="83" t="str">
        <x:v>Interface 상태 모니터링</x:v>
      </x:c>
      <x:c r="C66" s="83" t="n">
        <x:v>24</x:v>
      </x:c>
      <x:c r="D66" s="83" t="str">
        <x:v>통신</x:v>
      </x:c>
      <x:c r="E66" s="83" t="str">
        <x:v>PLC(Melsec) 통신 기능 구현</x:v>
      </x:c>
      <x:c r="F66" s="83" t="str">
        <x:v>03-07</x:v>
      </x:c>
      <x:c r="G66" s="83" t="str">
        <x:v>공통 Timeout·재연결 정책</x:v>
      </x:c>
      <x:c r="H66" s="83" t="str">
        <x:v>E-PLC</x:v>
      </x:c>
      <x:c r="I66" s="83" t="str">
        <x:v>Drilling.Common/Interface/Melsec/CMelsec.cs</x:v>
      </x:c>
      <x:c r="J66" s="83" t="str">
        <x:v>CMelsec</x:v>
      </x:c>
      <x:c r="K66" s="83" t="str">
        <x:v>QueueWriteBit</x:v>
      </x:c>
      <x:c r="L66" s="83" t="str">
        <x:v>부분 반영</x:v>
      </x:c>
      <x:c r="M66" s="84" t="n">
        <x:v>0.8</x:v>
      </x:c>
      <x:c r="N66" s="83" t="str">
        <x:v>일부 구현은 확인되나 실장비 연동, Timeout/Alarm/Recovery, 저장·복원 또는 고객 수용시험 증빙이 부족</x:v>
      </x:c>
    </x:row>
    <x:row r="67" ht="42" customHeight="1">
      <x:c r="A67" s="83" t="str">
        <x:v>AM-006</x:v>
      </x:c>
      <x:c r="B67" s="83" t="str">
        <x:v>Interface 상태 모니터링</x:v>
      </x:c>
      <x:c r="C67" s="83" t="n">
        <x:v>24</x:v>
      </x:c>
      <x:c r="D67" s="83" t="str">
        <x:v>통신</x:v>
      </x:c>
      <x:c r="E67" s="83" t="str">
        <x:v>PLC(Melsec) 통신 기능 구현</x:v>
      </x:c>
      <x:c r="F67" s="83" t="str">
        <x:v>09-05</x:v>
      </x:c>
      <x:c r="G67" s="83" t="str">
        <x:v>Power/Optics 통합 검증</x:v>
      </x:c>
      <x:c r="H67" s="83" t="str">
        <x:v>E-PLC</x:v>
      </x:c>
      <x:c r="I67" s="83" t="str">
        <x:v>Drilling.Common/Interface/Melsec/CMelsec.cs</x:v>
      </x:c>
      <x:c r="J67" s="83" t="str">
        <x:v>CMelsec</x:v>
      </x:c>
      <x:c r="K67" s="83" t="str">
        <x:v>QueueWriteBit</x:v>
      </x:c>
      <x:c r="L67" s="83" t="str">
        <x:v>부분 반영</x:v>
      </x:c>
      <x:c r="M67" s="84" t="n">
        <x:v>0.8</x:v>
      </x:c>
      <x:c r="N67" s="83" t="str">
        <x:v>일부 구현은 확인되나 실장비 연동, Timeout/Alarm/Recovery, 저장·복원 또는 고객 수용시험 증빙이 부족</x:v>
      </x:c>
    </x:row>
    <x:row r="68" ht="42" customHeight="1">
      <x:c r="A68" s="83" t="str">
        <x:v>AM-006</x:v>
      </x:c>
      <x:c r="B68" s="83" t="str">
        <x:v>Interface 상태 모니터링</x:v>
      </x:c>
      <x:c r="C68" s="83" t="n">
        <x:v>32</x:v>
      </x:c>
      <x:c r="D68" s="83" t="str">
        <x:v>통신</x:v>
      </x:c>
      <x:c r="E68" s="83" t="str">
        <x:v>Stage PC 통신 연동</x:v>
      </x:c>
      <x:c r="F68" s="83" t="str">
        <x:v>03-07</x:v>
      </x:c>
      <x:c r="G68" s="83" t="str">
        <x:v>공통 Timeout·재연결 정책</x:v>
      </x:c>
      <x:c r="H68" s="83" t="str">
        <x:v>E-SOCKET</x:v>
      </x:c>
      <x:c r="I68" s="83" t="str">
        <x:v>Drilling.Common/Interface/Socket/CSocketComm.cs</x:v>
      </x:c>
      <x:c r="J68" s="83" t="str">
        <x:v>CSocketComm</x:v>
      </x:c>
      <x:c r="K68" s="83" t="str">
        <x:v>Connect</x:v>
      </x:c>
      <x:c r="L68" s="83" t="str">
        <x:v>부분 반영</x:v>
      </x:c>
      <x:c r="M68" s="84" t="n">
        <x:v>0.8</x:v>
      </x:c>
      <x:c r="N68" s="83" t="str">
        <x:v>일부 구현은 확인되나 실장비 연동, Timeout/Alarm/Recovery, 저장·복원 또는 고객 수용시험 증빙이 부족</x:v>
      </x:c>
    </x:row>
    <x:row r="69" ht="42" customHeight="1">
      <x:c r="A69" s="83" t="str">
        <x:v>AM-006</x:v>
      </x:c>
      <x:c r="B69" s="83" t="str">
        <x:v>Interface 상태 모니터링</x:v>
      </x:c>
      <x:c r="C69" s="83" t="n">
        <x:v>32</x:v>
      </x:c>
      <x:c r="D69" s="83" t="str">
        <x:v>통신</x:v>
      </x:c>
      <x:c r="E69" s="83" t="str">
        <x:v>Stage PC 통신 연동</x:v>
      </x:c>
      <x:c r="F69" s="83" t="str">
        <x:v>09-05</x:v>
      </x:c>
      <x:c r="G69" s="83" t="str">
        <x:v>Power/Optics 통합 검증</x:v>
      </x:c>
      <x:c r="H69" s="83" t="str">
        <x:v>E-SOCKET</x:v>
      </x:c>
      <x:c r="I69" s="83" t="str">
        <x:v>Drilling.Common/Interface/Socket/CSocketComm.cs</x:v>
      </x:c>
      <x:c r="J69" s="83" t="str">
        <x:v>CSocketComm</x:v>
      </x:c>
      <x:c r="K69" s="83" t="str">
        <x:v>Connect</x:v>
      </x:c>
      <x:c r="L69" s="83" t="str">
        <x:v>부분 반영</x:v>
      </x:c>
      <x:c r="M69" s="84" t="n">
        <x:v>0.8</x:v>
      </x:c>
      <x:c r="N69" s="83" t="str">
        <x:v>일부 구현은 확인되나 실장비 연동, Timeout/Alarm/Recovery, 저장·복원 또는 고객 수용시험 증빙이 부족</x:v>
      </x:c>
    </x:row>
    <x:row r="70" ht="42" customHeight="1">
      <x:c r="A70" s="83" t="str">
        <x:v>AM-006</x:v>
      </x:c>
      <x:c r="B70" s="83" t="str">
        <x:v>Interface 상태 모니터링</x:v>
      </x:c>
      <x:c r="C70" s="83" t="n">
        <x:v>33</x:v>
      </x:c>
      <x:c r="D70" s="83" t="str">
        <x:v>통신</x:v>
      </x:c>
      <x:c r="E70" s="83" t="str">
        <x:v>Vision PC 통신 연동</x:v>
      </x:c>
      <x:c r="F70" s="83" t="str">
        <x:v>03-07</x:v>
      </x:c>
      <x:c r="G70" s="83" t="str">
        <x:v>공통 Timeout·재연결 정책</x:v>
      </x:c>
      <x:c r="H70" s="83" t="str">
        <x:v>E-REVIEW</x:v>
      </x:c>
      <x:c r="I70" s="83" t="str">
        <x:v>Drilling.Common/Review/CReviewManager.cs</x:v>
      </x:c>
      <x:c r="J70" s="83" t="str">
        <x:v>CReviewManager</x:v>
      </x:c>
      <x:c r="K70" s="83" t="str">
        <x:v>CreatePlan</x:v>
      </x:c>
      <x:c r="L70" s="83" t="str">
        <x:v>부분 반영</x:v>
      </x:c>
      <x:c r="M70" s="84" t="n">
        <x:v>0.8</x:v>
      </x:c>
      <x:c r="N70" s="83" t="str">
        <x:v>일부 구현은 확인되나 실장비 연동, Timeout/Alarm/Recovery, 저장·복원 또는 고객 수용시험 증빙이 부족</x:v>
      </x:c>
    </x:row>
    <x:row r="71" ht="42" customHeight="1">
      <x:c r="A71" s="83" t="str">
        <x:v>AM-006</x:v>
      </x:c>
      <x:c r="B71" s="83" t="str">
        <x:v>Interface 상태 모니터링</x:v>
      </x:c>
      <x:c r="C71" s="83" t="n">
        <x:v>33</x:v>
      </x:c>
      <x:c r="D71" s="83" t="str">
        <x:v>통신</x:v>
      </x:c>
      <x:c r="E71" s="83" t="str">
        <x:v>Vision PC 통신 연동</x:v>
      </x:c>
      <x:c r="F71" s="83" t="str">
        <x:v>09-05</x:v>
      </x:c>
      <x:c r="G71" s="83" t="str">
        <x:v>Power/Optics 통합 검증</x:v>
      </x:c>
      <x:c r="H71" s="83" t="str">
        <x:v>E-REVIEW</x:v>
      </x:c>
      <x:c r="I71" s="83" t="str">
        <x:v>Drilling.Common/Review/CReviewManager.cs</x:v>
      </x:c>
      <x:c r="J71" s="83" t="str">
        <x:v>CReviewManager</x:v>
      </x:c>
      <x:c r="K71" s="83" t="str">
        <x:v>CreatePlan</x:v>
      </x:c>
      <x:c r="L71" s="83" t="str">
        <x:v>부분 반영</x:v>
      </x:c>
      <x:c r="M71" s="84" t="n">
        <x:v>0.8</x:v>
      </x:c>
      <x:c r="N71" s="83" t="str">
        <x:v>일부 구현은 확인되나 실장비 연동, Timeout/Alarm/Recovery, 저장·복원 또는 고객 수용시험 증빙이 부족</x:v>
      </x:c>
    </x:row>
    <x:row r="72" ht="42" customHeight="1">
      <x:c r="A72" s="83" t="str">
        <x:v>AM-006</x:v>
      </x:c>
      <x:c r="B72" s="83" t="str">
        <x:v>Interface 상태 모니터링</x:v>
      </x:c>
      <x:c r="C72" s="83" t="n">
        <x:v>34</x:v>
      </x:c>
      <x:c r="D72" s="83" t="str">
        <x:v>통신</x:v>
      </x:c>
      <x:c r="E72" s="83" t="str">
        <x:v>Automation1 연동 기능 구현</x:v>
      </x:c>
      <x:c r="F72" s="83" t="str">
        <x:v>03-07</x:v>
      </x:c>
      <x:c r="G72" s="83" t="str">
        <x:v>공통 Timeout·재연결 정책</x:v>
      </x:c>
      <x:c r="H72" s="83" t="str">
        <x:v>E-AUTOMATION</x:v>
      </x:c>
      <x:c r="I72" s="83" t="str">
        <x:v>Drilling.Common/Interface/Automation1/CAutomation1Comm.cs</x:v>
      </x:c>
      <x:c r="J72" s="83" t="str">
        <x:v>CAutomation1Comm</x:v>
      </x:c>
      <x:c r="K72" s="83" t="str">
        <x:v>Execute</x:v>
      </x:c>
      <x:c r="L72" s="83" t="str">
        <x:v>부분 반영</x:v>
      </x:c>
      <x:c r="M72" s="84" t="n">
        <x:v>0.8</x:v>
      </x:c>
      <x:c r="N72" s="83" t="str">
        <x:v>일부 구현은 확인되나 실장비 연동, Timeout/Alarm/Recovery, 저장·복원 또는 고객 수용시험 증빙이 부족</x:v>
      </x:c>
    </x:row>
    <x:row r="73" ht="42" customHeight="1">
      <x:c r="A73" s="83" t="str">
        <x:v>AM-006</x:v>
      </x:c>
      <x:c r="B73" s="83" t="str">
        <x:v>Interface 상태 모니터링</x:v>
      </x:c>
      <x:c r="C73" s="83" t="n">
        <x:v>34</x:v>
      </x:c>
      <x:c r="D73" s="83" t="str">
        <x:v>통신</x:v>
      </x:c>
      <x:c r="E73" s="83" t="str">
        <x:v>Automation1 연동 기능 구현</x:v>
      </x:c>
      <x:c r="F73" s="83" t="str">
        <x:v>09-05</x:v>
      </x:c>
      <x:c r="G73" s="83" t="str">
        <x:v>Power/Optics 통합 검증</x:v>
      </x:c>
      <x:c r="H73" s="83" t="str">
        <x:v>E-AUTOMATION</x:v>
      </x:c>
      <x:c r="I73" s="83" t="str">
        <x:v>Drilling.Common/Interface/Automation1/CAutomation1Comm.cs</x:v>
      </x:c>
      <x:c r="J73" s="83" t="str">
        <x:v>CAutomation1Comm</x:v>
      </x:c>
      <x:c r="K73" s="83" t="str">
        <x:v>Execute</x:v>
      </x:c>
      <x:c r="L73" s="83" t="str">
        <x:v>부분 반영</x:v>
      </x:c>
      <x:c r="M73" s="84" t="n">
        <x:v>0.8</x:v>
      </x:c>
      <x:c r="N73" s="83" t="str">
        <x:v>일부 구현은 확인되나 실장비 연동, Timeout/Alarm/Recovery, 저장·복원 또는 고객 수용시험 증빙이 부족</x:v>
      </x:c>
    </x:row>
    <x:row r="74" ht="42" customHeight="1">
      <x:c r="A74" s="83" t="str">
        <x:v>AM-006</x:v>
      </x:c>
      <x:c r="B74" s="83" t="str">
        <x:v>Interface 상태 모니터링</x:v>
      </x:c>
      <x:c r="C74" s="83" t="n">
        <x:v>115</x:v>
      </x:c>
      <x:c r="D74" s="83" t="str">
        <x:v>기능</x:v>
      </x:c>
      <x:c r="E74" s="83" t="str">
        <x:v>장비별 Simulation Mode 구현</x:v>
      </x:c>
      <x:c r="F74" s="83" t="str">
        <x:v>03-07</x:v>
      </x:c>
      <x:c r="G74" s="83" t="str">
        <x:v>공통 Timeout·재연결 정책</x:v>
      </x:c>
      <x:c r="H74" s="83" t="str">
        <x:v>E-REGRESSION</x:v>
      </x:c>
      <x:c r="I74" s="83" t="str">
        <x:v>Drilling.Regression/Program.cs</x:v>
      </x:c>
      <x:c r="J74" s="83" t="str">
        <x:v>Program</x:v>
      </x:c>
      <x:c r="K74" s="83" t="str">
        <x:v>RunSimulationFlow</x:v>
      </x:c>
      <x:c r="L74" s="83" t="str">
        <x:v>부분 반영</x:v>
      </x:c>
      <x:c r="M74" s="84" t="n">
        <x:v>0.8</x:v>
      </x:c>
      <x:c r="N74" s="83" t="str">
        <x:v>일부 구현은 확인되나 실장비 연동, Timeout/Alarm/Recovery, 저장·복원 또는 고객 수용시험 증빙이 부족</x:v>
      </x:c>
    </x:row>
    <x:row r="75" ht="42" customHeight="1">
      <x:c r="A75" s="83" t="str">
        <x:v>AM-006</x:v>
      </x:c>
      <x:c r="B75" s="83" t="str">
        <x:v>Interface 상태 모니터링</x:v>
      </x:c>
      <x:c r="C75" s="83" t="n">
        <x:v>115</x:v>
      </x:c>
      <x:c r="D75" s="83" t="str">
        <x:v>기능</x:v>
      </x:c>
      <x:c r="E75" s="83" t="str">
        <x:v>장비별 Simulation Mode 구현</x:v>
      </x:c>
      <x:c r="F75" s="83" t="str">
        <x:v>09-05</x:v>
      </x:c>
      <x:c r="G75" s="83" t="str">
        <x:v>Power/Optics 통합 검증</x:v>
      </x:c>
      <x:c r="H75" s="83" t="str">
        <x:v>E-REGRESSION</x:v>
      </x:c>
      <x:c r="I75" s="83" t="str">
        <x:v>Drilling.Regression/Program.cs</x:v>
      </x:c>
      <x:c r="J75" s="83" t="str">
        <x:v>Program</x:v>
      </x:c>
      <x:c r="K75" s="83" t="str">
        <x:v>RunSimulationFlow</x:v>
      </x:c>
      <x:c r="L75" s="83" t="str">
        <x:v>부분 반영</x:v>
      </x:c>
      <x:c r="M75" s="84" t="n">
        <x:v>0.8</x:v>
      </x:c>
      <x:c r="N75" s="83" t="str">
        <x:v>일부 구현은 확인되나 실장비 연동, Timeout/Alarm/Recovery, 저장·복원 또는 고객 수용시험 증빙이 부족</x:v>
      </x:c>
    </x:row>
    <x:row r="76" ht="42" customHeight="1">
      <x:c r="A76" s="83" t="str">
        <x:v>AM-007</x:v>
      </x:c>
      <x:c r="B76" s="83" t="str">
        <x:v>전체 인터락 모니터링</x:v>
      </x:c>
      <x:c r="C76" s="83" t="n">
        <x:v>2</x:v>
      </x:c>
      <x:c r="D76" s="83" t="str">
        <x:v>UI</x:v>
      </x:c>
      <x:c r="E76" s="83" t="str">
        <x:v>Main 화면 - Safety 상태 표시 영역 구현</x:v>
      </x:c>
      <x:c r="F76" s="83" t="str">
        <x:v>10-01</x:v>
      </x:c>
      <x:c r="G76" s="83" t="str">
        <x:v>Door/Laser/Scanner/Stage Interlock</x:v>
      </x:c>
      <x:c r="H76" s="83" t="str">
        <x:v>E-UI-MAIN</x:v>
      </x:c>
      <x:c r="I76" s="83" t="str">
        <x:v>Drilling.UI/Menu/Menus/CMenuMain.cs</x:v>
      </x:c>
      <x:c r="J76" s="83" t="str">
        <x:v>CMenuMain</x:v>
      </x:c>
      <x:c r="K76" s="83" t="str">
        <x:v>RefreshLiveStatus</x:v>
      </x:c>
      <x:c r="L76" s="83" t="str">
        <x:v>부분 반영</x:v>
      </x:c>
      <x:c r="M76" s="84" t="n">
        <x:v>0.82</x:v>
      </x:c>
      <x:c r="N76" s="83" t="str">
        <x:v>일부 구현은 확인되나 실장비 연동, Timeout/Alarm/Recovery, 저장·복원 또는 고객 수용시험 증빙이 부족</x:v>
      </x:c>
    </x:row>
    <x:row r="77" ht="42" customHeight="1">
      <x:c r="A77" s="83" t="str">
        <x:v>AM-007</x:v>
      </x:c>
      <x:c r="B77" s="83" t="str">
        <x:v>전체 인터락 모니터링</x:v>
      </x:c>
      <x:c r="C77" s="83" t="n">
        <x:v>2</x:v>
      </x:c>
      <x:c r="D77" s="83" t="str">
        <x:v>UI</x:v>
      </x:c>
      <x:c r="E77" s="83" t="str">
        <x:v>Main 화면 - Safety 상태 표시 영역 구현</x:v>
      </x:c>
      <x:c r="F77" s="83" t="str">
        <x:v>02-01</x:v>
      </x:c>
      <x:c r="G77" s="83" t="str">
        <x:v>Main/Auto 통합 화면</x:v>
      </x:c>
      <x:c r="H77" s="83" t="str">
        <x:v>E-UI-MAIN</x:v>
      </x:c>
      <x:c r="I77" s="83" t="str">
        <x:v>Drilling.UI/Menu/Menus/CMenuMain.cs</x:v>
      </x:c>
      <x:c r="J77" s="83" t="str">
        <x:v>CMenuMain</x:v>
      </x:c>
      <x:c r="K77" s="83" t="str">
        <x:v>RefreshLiveStatus</x:v>
      </x:c>
      <x:c r="L77" s="83" t="str">
        <x:v>부분 반영</x:v>
      </x:c>
      <x:c r="M77" s="84" t="n">
        <x:v>0.82</x:v>
      </x:c>
      <x:c r="N77" s="83" t="str">
        <x:v>일부 구현은 확인되나 실장비 연동, Timeout/Alarm/Recovery, 저장·복원 또는 고객 수용시험 증빙이 부족</x:v>
      </x:c>
    </x:row>
    <x:row r="78" ht="42" customHeight="1">
      <x:c r="A78" s="83" t="str">
        <x:v>AM-007</x:v>
      </x:c>
      <x:c r="B78" s="83" t="str">
        <x:v>전체 인터락 모니터링</x:v>
      </x:c>
      <x:c r="C78" s="83" t="n">
        <x:v>63</x:v>
      </x:c>
      <x:c r="D78" s="83" t="str">
        <x:v>Alarm</x:v>
      </x:c>
      <x:c r="E78" s="83" t="str">
        <x:v>Interlock List 정리</x:v>
      </x:c>
      <x:c r="F78" s="83" t="str">
        <x:v>10-01</x:v>
      </x:c>
      <x:c r="G78" s="83" t="str">
        <x:v>Door/Laser/Scanner/Stage Interlock</x:v>
      </x:c>
      <x:c r="H78" s="83" t="str">
        <x:v>E-INTERLOCK</x:v>
      </x:c>
      <x:c r="I78" s="83" t="str">
        <x:v>Drilling.Common/InterLock/CInterLockManager.cs</x:v>
      </x:c>
      <x:c r="J78" s="83" t="str">
        <x:v>CInterLockManager</x:v>
      </x:c>
      <x:c r="K78" s="83" t="str">
        <x:v>Evaluate</x:v>
      </x:c>
      <x:c r="L78" s="83" t="str">
        <x:v>부분 반영</x:v>
      </x:c>
      <x:c r="M78" s="84" t="n">
        <x:v>0.82</x:v>
      </x:c>
      <x:c r="N78" s="83" t="str">
        <x:v>일부 구현은 확인되나 실장비 연동, Timeout/Alarm/Recovery, 저장·복원 또는 고객 수용시험 증빙이 부족</x:v>
      </x:c>
    </x:row>
    <x:row r="79" ht="42" customHeight="1">
      <x:c r="A79" s="83" t="str">
        <x:v>AM-007</x:v>
      </x:c>
      <x:c r="B79" s="83" t="str">
        <x:v>전체 인터락 모니터링</x:v>
      </x:c>
      <x:c r="C79" s="83" t="n">
        <x:v>63</x:v>
      </x:c>
      <x:c r="D79" s="83" t="str">
        <x:v>Alarm</x:v>
      </x:c>
      <x:c r="E79" s="83" t="str">
        <x:v>Interlock List 정리</x:v>
      </x:c>
      <x:c r="F79" s="83" t="str">
        <x:v>02-01</x:v>
      </x:c>
      <x:c r="G79" s="83" t="str">
        <x:v>Main/Auto 통합 화면</x:v>
      </x:c>
      <x:c r="H79" s="83" t="str">
        <x:v>E-INTERLOCK</x:v>
      </x:c>
      <x:c r="I79" s="83" t="str">
        <x:v>Drilling.Common/InterLock/CInterLockManager.cs</x:v>
      </x:c>
      <x:c r="J79" s="83" t="str">
        <x:v>CInterLockManager</x:v>
      </x:c>
      <x:c r="K79" s="83" t="str">
        <x:v>Evaluate</x:v>
      </x:c>
      <x:c r="L79" s="83" t="str">
        <x:v>부분 반영</x:v>
      </x:c>
      <x:c r="M79" s="84" t="n">
        <x:v>0.82</x:v>
      </x:c>
      <x:c r="N79" s="83" t="str">
        <x:v>일부 구현은 확인되나 실장비 연동, Timeout/Alarm/Recovery, 저장·복원 또는 고객 수용시험 증빙이 부족</x:v>
      </x:c>
    </x:row>
    <x:row r="80" ht="42" customHeight="1">
      <x:c r="A80" s="83" t="str">
        <x:v>AM-007</x:v>
      </x:c>
      <x:c r="B80" s="83" t="str">
        <x:v>전체 인터락 모니터링</x:v>
      </x:c>
      <x:c r="C80" s="83" t="n">
        <x:v>64</x:v>
      </x:c>
      <x:c r="D80" s="83" t="str">
        <x:v>Alarm</x:v>
      </x:c>
      <x:c r="E80" s="83" t="str">
        <x:v>Interlock 발생 처리 기능 구현</x:v>
      </x:c>
      <x:c r="F80" s="83" t="str">
        <x:v>10-01</x:v>
      </x:c>
      <x:c r="G80" s="83" t="str">
        <x:v>Door/Laser/Scanner/Stage Interlock</x:v>
      </x:c>
      <x:c r="H80" s="83" t="str">
        <x:v>E-INTERLOCK</x:v>
      </x:c>
      <x:c r="I80" s="83" t="str">
        <x:v>Drilling.Common/InterLock/CInterLockManager.cs</x:v>
      </x:c>
      <x:c r="J80" s="83" t="str">
        <x:v>CInterLockManager</x:v>
      </x:c>
      <x:c r="K80" s="83" t="str">
        <x:v>Evaluate</x:v>
      </x:c>
      <x:c r="L80" s="83" t="str">
        <x:v>부분 반영</x:v>
      </x:c>
      <x:c r="M80" s="84" t="n">
        <x:v>0.82</x:v>
      </x:c>
      <x:c r="N80" s="83" t="str">
        <x:v>일부 구현은 확인되나 실장비 연동, Timeout/Alarm/Recovery, 저장·복원 또는 고객 수용시험 증빙이 부족</x:v>
      </x:c>
    </x:row>
    <x:row r="81" ht="42" customHeight="1">
      <x:c r="A81" s="83" t="str">
        <x:v>AM-007</x:v>
      </x:c>
      <x:c r="B81" s="83" t="str">
        <x:v>전체 인터락 모니터링</x:v>
      </x:c>
      <x:c r="C81" s="83" t="n">
        <x:v>64</x:v>
      </x:c>
      <x:c r="D81" s="83" t="str">
        <x:v>Alarm</x:v>
      </x:c>
      <x:c r="E81" s="83" t="str">
        <x:v>Interlock 발생 처리 기능 구현</x:v>
      </x:c>
      <x:c r="F81" s="83" t="str">
        <x:v>02-01</x:v>
      </x:c>
      <x:c r="G81" s="83" t="str">
        <x:v>Main/Auto 통합 화면</x:v>
      </x:c>
      <x:c r="H81" s="83" t="str">
        <x:v>E-INTERLOCK</x:v>
      </x:c>
      <x:c r="I81" s="83" t="str">
        <x:v>Drilling.Common/InterLock/CInterLockManager.cs</x:v>
      </x:c>
      <x:c r="J81" s="83" t="str">
        <x:v>CInterLockManager</x:v>
      </x:c>
      <x:c r="K81" s="83" t="str">
        <x:v>Evaluate</x:v>
      </x:c>
      <x:c r="L81" s="83" t="str">
        <x:v>부분 반영</x:v>
      </x:c>
      <x:c r="M81" s="84" t="n">
        <x:v>0.82</x:v>
      </x:c>
      <x:c r="N81" s="83" t="str">
        <x:v>일부 구현은 확인되나 실장비 연동, Timeout/Alarm/Recovery, 저장·복원 또는 고객 수용시험 증빙이 부족</x:v>
      </x:c>
    </x:row>
    <x:row r="82" ht="42" customHeight="1">
      <x:c r="A82" s="83" t="str">
        <x:v>AM-007</x:v>
      </x:c>
      <x:c r="B82" s="83" t="str">
        <x:v>전체 인터락 모니터링</x:v>
      </x:c>
      <x:c r="C82" s="83" t="n">
        <x:v>65</x:v>
      </x:c>
      <x:c r="D82" s="83" t="str">
        <x:v>Alarm</x:v>
      </x:c>
      <x:c r="E82" s="83" t="str">
        <x:v>Interlock 상태 확인 기능 구현</x:v>
      </x:c>
      <x:c r="F82" s="83" t="str">
        <x:v>10-01</x:v>
      </x:c>
      <x:c r="G82" s="83" t="str">
        <x:v>Door/Laser/Scanner/Stage Interlock</x:v>
      </x:c>
      <x:c r="H82" s="83" t="str">
        <x:v>E-INTERLOCK</x:v>
      </x:c>
      <x:c r="I82" s="83" t="str">
        <x:v>Drilling.Common/InterLock/CInterLockManager.cs</x:v>
      </x:c>
      <x:c r="J82" s="83" t="str">
        <x:v>CInterLockManager</x:v>
      </x:c>
      <x:c r="K82" s="83" t="str">
        <x:v>Evaluate</x:v>
      </x:c>
      <x:c r="L82" s="83" t="str">
        <x:v>부분 반영</x:v>
      </x:c>
      <x:c r="M82" s="84" t="n">
        <x:v>0.82</x:v>
      </x:c>
      <x:c r="N82" s="83" t="str">
        <x:v>일부 구현은 확인되나 실장비 연동, Timeout/Alarm/Recovery, 저장·복원 또는 고객 수용시험 증빙이 부족</x:v>
      </x:c>
    </x:row>
    <x:row r="83" ht="42" customHeight="1">
      <x:c r="A83" s="83" t="str">
        <x:v>AM-007</x:v>
      </x:c>
      <x:c r="B83" s="83" t="str">
        <x:v>전체 인터락 모니터링</x:v>
      </x:c>
      <x:c r="C83" s="83" t="n">
        <x:v>65</x:v>
      </x:c>
      <x:c r="D83" s="83" t="str">
        <x:v>Alarm</x:v>
      </x:c>
      <x:c r="E83" s="83" t="str">
        <x:v>Interlock 상태 확인 기능 구현</x:v>
      </x:c>
      <x:c r="F83" s="83" t="str">
        <x:v>02-01</x:v>
      </x:c>
      <x:c r="G83" s="83" t="str">
        <x:v>Main/Auto 통합 화면</x:v>
      </x:c>
      <x:c r="H83" s="83" t="str">
        <x:v>E-INTERLOCK</x:v>
      </x:c>
      <x:c r="I83" s="83" t="str">
        <x:v>Drilling.Common/InterLock/CInterLockManager.cs</x:v>
      </x:c>
      <x:c r="J83" s="83" t="str">
        <x:v>CInterLockManager</x:v>
      </x:c>
      <x:c r="K83" s="83" t="str">
        <x:v>Evaluate</x:v>
      </x:c>
      <x:c r="L83" s="83" t="str">
        <x:v>부분 반영</x:v>
      </x:c>
      <x:c r="M83" s="84" t="n">
        <x:v>0.82</x:v>
      </x:c>
      <x:c r="N83" s="83" t="str">
        <x:v>일부 구현은 확인되나 실장비 연동, Timeout/Alarm/Recovery, 저장·복원 또는 고객 수용시험 증빙이 부족</x:v>
      </x:c>
    </x:row>
    <x:row r="84" ht="42" customHeight="1">
      <x:c r="A84" s="83" t="str">
        <x:v>AM-008</x:v>
      </x:c>
      <x:c r="B84" s="83" t="str">
        <x:v>Sequence 진행 모니터링</x:v>
      </x:c>
      <x:c r="C84" s="83" t="n">
        <x:v>1</x:v>
      </x:c>
      <x:c r="D84" s="83" t="str">
        <x:v>UI</x:v>
      </x:c>
      <x:c r="E84" s="83" t="str">
        <x:v>Main 화면 - Sequence 진행 상태 표시 영역 구현</x:v>
      </x:c>
      <x:c r="F84" s="83" t="str">
        <x:v>02-01</x:v>
      </x:c>
      <x:c r="G84" s="83" t="str">
        <x:v>Main/Auto 통합 화면</x:v>
      </x:c>
      <x:c r="H84" s="83" t="str">
        <x:v>E-UI-MAIN</x:v>
      </x:c>
      <x:c r="I84" s="83" t="str">
        <x:v>Drilling.UI/Menu/Menus/CMenuMain.cs</x:v>
      </x:c>
      <x:c r="J84" s="83" t="str">
        <x:v>CMenuMain</x:v>
      </x:c>
      <x:c r="K84" s="83" t="str">
        <x:v>RefreshLiveStatus</x:v>
      </x:c>
      <x:c r="L84" s="83" t="str">
        <x:v>부분 반영</x:v>
      </x:c>
      <x:c r="M84" s="84" t="n">
        <x:v>0.75</x:v>
      </x:c>
      <x:c r="N84" s="83" t="str">
        <x:v>일부 구현은 확인되나 실장비 연동, Timeout/Alarm/Recovery, 저장·복원 또는 고객 수용시험 증빙이 부족</x:v>
      </x:c>
    </x:row>
    <x:row r="85" ht="42" customHeight="1">
      <x:c r="A85" s="83" t="str">
        <x:v>AM-008</x:v>
      </x:c>
      <x:c r="B85" s="83" t="str">
        <x:v>Sequence 진행 모니터링</x:v>
      </x:c>
      <x:c r="C85" s="83" t="n">
        <x:v>1</x:v>
      </x:c>
      <x:c r="D85" s="83" t="str">
        <x:v>UI</x:v>
      </x:c>
      <x:c r="E85" s="83" t="str">
        <x:v>Main 화면 - Sequence 진행 상태 표시 영역 구현</x:v>
      </x:c>
      <x:c r="F85" s="83" t="str">
        <x:v>05-02</x:v>
      </x:c>
      <x:c r="G85" s="83" t="str">
        <x:v>Auto·Step 전체 Sequence</x:v>
      </x:c>
      <x:c r="H85" s="83" t="str">
        <x:v>E-UI-MAIN</x:v>
      </x:c>
      <x:c r="I85" s="83" t="str">
        <x:v>Drilling.UI/Menu/Menus/CMenuMain.cs</x:v>
      </x:c>
      <x:c r="J85" s="83" t="str">
        <x:v>CMenuMain</x:v>
      </x:c>
      <x:c r="K85" s="83" t="str">
        <x:v>RefreshLiveStatus</x:v>
      </x:c>
      <x:c r="L85" s="83" t="str">
        <x:v>부분 반영</x:v>
      </x:c>
      <x:c r="M85" s="84" t="n">
        <x:v>0.75</x:v>
      </x:c>
      <x:c r="N85" s="83" t="str">
        <x:v>일부 구현은 확인되나 실장비 연동, Timeout/Alarm/Recovery, 저장·복원 또는 고객 수용시험 증빙이 부족</x:v>
      </x:c>
    </x:row>
    <x:row r="86" ht="42" customHeight="1">
      <x:c r="A86" s="83" t="str">
        <x:v>AM-008</x:v>
      </x:c>
      <x:c r="B86" s="83" t="str">
        <x:v>Sequence 진행 모니터링</x:v>
      </x:c>
      <x:c r="C86" s="83" t="n">
        <x:v>47</x:v>
      </x:c>
      <x:c r="D86" s="83" t="str">
        <x:v>Sequence</x:v>
      </x:c>
      <x:c r="E86" s="83" t="str">
        <x:v>PreCheck Step 구현</x:v>
      </x:c>
      <x:c r="F86" s="83" t="str">
        <x:v>02-01</x:v>
      </x:c>
      <x:c r="G86" s="83" t="str">
        <x:v>Main/Auto 통합 화면</x:v>
      </x:c>
      <x:c r="H86" s="83" t="str">
        <x:v>E-SEQUENCE</x:v>
      </x:c>
      <x:c r="I86" s="83" t="str">
        <x:v>Drilling.Common/Station/CStationProcess.cs</x:v>
      </x:c>
      <x:c r="J86" s="83" t="str">
        <x:v>CStationProcess</x:v>
      </x:c>
      <x:c r="K86" s="83" t="str">
        <x:v>RunPreCheck</x:v>
      </x:c>
      <x:c r="L86" s="83" t="str">
        <x:v>부분 반영</x:v>
      </x:c>
      <x:c r="M86" s="84" t="n">
        <x:v>0.75</x:v>
      </x:c>
      <x:c r="N86" s="83" t="str">
        <x:v>일부 구현은 확인되나 실장비 연동, Timeout/Alarm/Recovery, 저장·복원 또는 고객 수용시험 증빙이 부족</x:v>
      </x:c>
    </x:row>
    <x:row r="87" ht="42" customHeight="1">
      <x:c r="A87" s="83" t="str">
        <x:v>AM-008</x:v>
      </x:c>
      <x:c r="B87" s="83" t="str">
        <x:v>Sequence 진행 모니터링</x:v>
      </x:c>
      <x:c r="C87" s="83" t="n">
        <x:v>47</x:v>
      </x:c>
      <x:c r="D87" s="83" t="str">
        <x:v>Sequence</x:v>
      </x:c>
      <x:c r="E87" s="83" t="str">
        <x:v>PreCheck Step 구현</x:v>
      </x:c>
      <x:c r="F87" s="83" t="str">
        <x:v>05-02</x:v>
      </x:c>
      <x:c r="G87" s="83" t="str">
        <x:v>Auto·Step 전체 Sequence</x:v>
      </x:c>
      <x:c r="H87" s="83" t="str">
        <x:v>E-SEQUENCE</x:v>
      </x:c>
      <x:c r="I87" s="83" t="str">
        <x:v>Drilling.Common/Station/CStationProcess.cs</x:v>
      </x:c>
      <x:c r="J87" s="83" t="str">
        <x:v>CStationProcess</x:v>
      </x:c>
      <x:c r="K87" s="83" t="str">
        <x:v>RunPreCheck</x:v>
      </x:c>
      <x:c r="L87" s="83" t="str">
        <x:v>부분 반영</x:v>
      </x:c>
      <x:c r="M87" s="84" t="n">
        <x:v>0.75</x:v>
      </x:c>
      <x:c r="N87" s="83" t="str">
        <x:v>일부 구현은 확인되나 실장비 연동, Timeout/Alarm/Recovery, 저장·복원 또는 고객 수용시험 증빙이 부족</x:v>
      </x:c>
    </x:row>
    <x:row r="88" ht="42" customHeight="1">
      <x:c r="A88" s="83" t="str">
        <x:v>AM-008</x:v>
      </x:c>
      <x:c r="B88" s="83" t="str">
        <x:v>Sequence 진행 모니터링</x:v>
      </x:c>
      <x:c r="C88" s="83" t="n">
        <x:v>48</x:v>
      </x:c>
      <x:c r="D88" s="83" t="str">
        <x:v>Sequence</x:v>
      </x:c>
      <x:c r="E88" s="83" t="str">
        <x:v>Recipe/Product Check Step - Recipe Parameter 확인 구현</x:v>
      </x:c>
      <x:c r="F88" s="83" t="str">
        <x:v>02-01</x:v>
      </x:c>
      <x:c r="G88" s="83" t="str">
        <x:v>Main/Auto 통합 화면</x:v>
      </x:c>
      <x:c r="H88" s="83" t="str">
        <x:v>E-SEQUENCE</x:v>
      </x:c>
      <x:c r="I88" s="83" t="str">
        <x:v>Drilling.Common/Station/CStationProcess.cs</x:v>
      </x:c>
      <x:c r="J88" s="83" t="str">
        <x:v>CStationProcess</x:v>
      </x:c>
      <x:c r="K88" s="83" t="str">
        <x:v>RunPreCheck</x:v>
      </x:c>
      <x:c r="L88" s="83" t="str">
        <x:v>부분 반영</x:v>
      </x:c>
      <x:c r="M88" s="84" t="n">
        <x:v>0.75</x:v>
      </x:c>
      <x:c r="N88" s="83" t="str">
        <x:v>일부 구현은 확인되나 실장비 연동, Timeout/Alarm/Recovery, 저장·복원 또는 고객 수용시험 증빙이 부족</x:v>
      </x:c>
    </x:row>
    <x:row r="89" ht="42" customHeight="1">
      <x:c r="A89" s="83" t="str">
        <x:v>AM-008</x:v>
      </x:c>
      <x:c r="B89" s="83" t="str">
        <x:v>Sequence 진행 모니터링</x:v>
      </x:c>
      <x:c r="C89" s="83" t="n">
        <x:v>48</x:v>
      </x:c>
      <x:c r="D89" s="83" t="str">
        <x:v>Sequence</x:v>
      </x:c>
      <x:c r="E89" s="83" t="str">
        <x:v>Recipe/Product Check Step - Recipe Parameter 확인 구현</x:v>
      </x:c>
      <x:c r="F89" s="83" t="str">
        <x:v>05-02</x:v>
      </x:c>
      <x:c r="G89" s="83" t="str">
        <x:v>Auto·Step 전체 Sequence</x:v>
      </x:c>
      <x:c r="H89" s="83" t="str">
        <x:v>E-SEQUENCE</x:v>
      </x:c>
      <x:c r="I89" s="83" t="str">
        <x:v>Drilling.Common/Station/CStationProcess.cs</x:v>
      </x:c>
      <x:c r="J89" s="83" t="str">
        <x:v>CStationProcess</x:v>
      </x:c>
      <x:c r="K89" s="83" t="str">
        <x:v>RunPreCheck</x:v>
      </x:c>
      <x:c r="L89" s="83" t="str">
        <x:v>부분 반영</x:v>
      </x:c>
      <x:c r="M89" s="84" t="n">
        <x:v>0.75</x:v>
      </x:c>
      <x:c r="N89" s="83" t="str">
        <x:v>일부 구현은 확인되나 실장비 연동, Timeout/Alarm/Recovery, 저장·복원 또는 고객 수용시험 증빙이 부족</x:v>
      </x:c>
    </x:row>
    <x:row r="90" ht="42" customHeight="1">
      <x:c r="A90" s="83" t="str">
        <x:v>AM-008</x:v>
      </x:c>
      <x:c r="B90" s="83" t="str">
        <x:v>Sequence 진행 모니터링</x:v>
      </x:c>
      <x:c r="C90" s="83" t="n">
        <x:v>49</x:v>
      </x:c>
      <x:c r="D90" s="83" t="str">
        <x:v>Sequence</x:v>
      </x:c>
      <x:c r="E90" s="83" t="str">
        <x:v>Recipe/Product Check Step - Product Data 정합성 확인 구현</x:v>
      </x:c>
      <x:c r="F90" s="83" t="str">
        <x:v>02-01</x:v>
      </x:c>
      <x:c r="G90" s="83" t="str">
        <x:v>Main/Auto 통합 화면</x:v>
      </x:c>
      <x:c r="H90" s="83" t="str">
        <x:v>E-SEQUENCE</x:v>
      </x:c>
      <x:c r="I90" s="83" t="str">
        <x:v>Drilling.Common/Station/CStationProcess.cs</x:v>
      </x:c>
      <x:c r="J90" s="83" t="str">
        <x:v>CStationProcess</x:v>
      </x:c>
      <x:c r="K90" s="83" t="str">
        <x:v>RunPreCheck</x:v>
      </x:c>
      <x:c r="L90" s="83" t="str">
        <x:v>부분 반영</x:v>
      </x:c>
      <x:c r="M90" s="84" t="n">
        <x:v>0.75</x:v>
      </x:c>
      <x:c r="N90" s="83" t="str">
        <x:v>일부 구현은 확인되나 실장비 연동, Timeout/Alarm/Recovery, 저장·복원 또는 고객 수용시험 증빙이 부족</x:v>
      </x:c>
    </x:row>
    <x:row r="91" ht="42" customHeight="1">
      <x:c r="A91" s="83" t="str">
        <x:v>AM-008</x:v>
      </x:c>
      <x:c r="B91" s="83" t="str">
        <x:v>Sequence 진행 모니터링</x:v>
      </x:c>
      <x:c r="C91" s="83" t="n">
        <x:v>49</x:v>
      </x:c>
      <x:c r="D91" s="83" t="str">
        <x:v>Sequence</x:v>
      </x:c>
      <x:c r="E91" s="83" t="str">
        <x:v>Recipe/Product Check Step - Product Data 정합성 확인 구현</x:v>
      </x:c>
      <x:c r="F91" s="83" t="str">
        <x:v>05-02</x:v>
      </x:c>
      <x:c r="G91" s="83" t="str">
        <x:v>Auto·Step 전체 Sequence</x:v>
      </x:c>
      <x:c r="H91" s="83" t="str">
        <x:v>E-SEQUENCE</x:v>
      </x:c>
      <x:c r="I91" s="83" t="str">
        <x:v>Drilling.Common/Station/CStationProcess.cs</x:v>
      </x:c>
      <x:c r="J91" s="83" t="str">
        <x:v>CStationProcess</x:v>
      </x:c>
      <x:c r="K91" s="83" t="str">
        <x:v>RunPreCheck</x:v>
      </x:c>
      <x:c r="L91" s="83" t="str">
        <x:v>부분 반영</x:v>
      </x:c>
      <x:c r="M91" s="84" t="n">
        <x:v>0.75</x:v>
      </x:c>
      <x:c r="N91" s="83" t="str">
        <x:v>일부 구현은 확인되나 실장비 연동, Timeout/Alarm/Recovery, 저장·복원 또는 고객 수용시험 증빙이 부족</x:v>
      </x:c>
    </x:row>
    <x:row r="92" ht="42" customHeight="1">
      <x:c r="A92" s="83" t="str">
        <x:v>AM-008</x:v>
      </x:c>
      <x:c r="B92" s="83" t="str">
        <x:v>Sequence 진행 모니터링</x:v>
      </x:c>
      <x:c r="C92" s="83" t="n">
        <x:v>50</x:v>
      </x:c>
      <x:c r="D92" s="83" t="str">
        <x:v>Sequence</x:v>
      </x:c>
      <x:c r="E92" s="83" t="str">
        <x:v>Align Step 구현</x:v>
      </x:c>
      <x:c r="F92" s="83" t="str">
        <x:v>02-01</x:v>
      </x:c>
      <x:c r="G92" s="83" t="str">
        <x:v>Main/Auto 통합 화면</x:v>
      </x:c>
      <x:c r="H92" s="83" t="str">
        <x:v>E-SEQUENCE</x:v>
      </x:c>
      <x:c r="I92" s="83" t="str">
        <x:v>Drilling.Common/Station/CStationProcess.cs</x:v>
      </x:c>
      <x:c r="J92" s="83" t="str">
        <x:v>CStationProcess</x:v>
      </x:c>
      <x:c r="K92" s="83" t="str">
        <x:v>RunPreCheck</x:v>
      </x:c>
      <x:c r="L92" s="83" t="str">
        <x:v>부분 반영</x:v>
      </x:c>
      <x:c r="M92" s="84" t="n">
        <x:v>0.75</x:v>
      </x:c>
      <x:c r="N92" s="83" t="str">
        <x:v>일부 구현은 확인되나 실장비 연동, Timeout/Alarm/Recovery, 저장·복원 또는 고객 수용시험 증빙이 부족</x:v>
      </x:c>
    </x:row>
    <x:row r="93" ht="42" customHeight="1">
      <x:c r="A93" s="83" t="str">
        <x:v>AM-008</x:v>
      </x:c>
      <x:c r="B93" s="83" t="str">
        <x:v>Sequence 진행 모니터링</x:v>
      </x:c>
      <x:c r="C93" s="83" t="n">
        <x:v>50</x:v>
      </x:c>
      <x:c r="D93" s="83" t="str">
        <x:v>Sequence</x:v>
      </x:c>
      <x:c r="E93" s="83" t="str">
        <x:v>Align Step 구현</x:v>
      </x:c>
      <x:c r="F93" s="83" t="str">
        <x:v>05-02</x:v>
      </x:c>
      <x:c r="G93" s="83" t="str">
        <x:v>Auto·Step 전체 Sequence</x:v>
      </x:c>
      <x:c r="H93" s="83" t="str">
        <x:v>E-SEQUENCE</x:v>
      </x:c>
      <x:c r="I93" s="83" t="str">
        <x:v>Drilling.Common/Station/CStationProcess.cs</x:v>
      </x:c>
      <x:c r="J93" s="83" t="str">
        <x:v>CStationProcess</x:v>
      </x:c>
      <x:c r="K93" s="83" t="str">
        <x:v>RunPreCheck</x:v>
      </x:c>
      <x:c r="L93" s="83" t="str">
        <x:v>부분 반영</x:v>
      </x:c>
      <x:c r="M93" s="84" t="n">
        <x:v>0.75</x:v>
      </x:c>
      <x:c r="N93" s="83" t="str">
        <x:v>일부 구현은 확인되나 실장비 연동, Timeout/Alarm/Recovery, 저장·복원 또는 고객 수용시험 증빙이 부족</x:v>
      </x:c>
    </x:row>
    <x:row r="94" ht="42" customHeight="1">
      <x:c r="A94" s="83" t="str">
        <x:v>AM-008</x:v>
      </x:c>
      <x:c r="B94" s="83" t="str">
        <x:v>Sequence 진행 모니터링</x:v>
      </x:c>
      <x:c r="C94" s="83" t="n">
        <x:v>51</x:v>
      </x:c>
      <x:c r="D94" s="83" t="str">
        <x:v>Sequence</x:v>
      </x:c>
      <x:c r="E94" s="83" t="str">
        <x:v>Stage Step 구현</x:v>
      </x:c>
      <x:c r="F94" s="83" t="str">
        <x:v>02-01</x:v>
      </x:c>
      <x:c r="G94" s="83" t="str">
        <x:v>Main/Auto 통합 화면</x:v>
      </x:c>
      <x:c r="H94" s="83" t="str">
        <x:v>E-SEQUENCE</x:v>
      </x:c>
      <x:c r="I94" s="83" t="str">
        <x:v>Drilling.Common/Station/CStationProcess.cs</x:v>
      </x:c>
      <x:c r="J94" s="83" t="str">
        <x:v>CStationProcess</x:v>
      </x:c>
      <x:c r="K94" s="83" t="str">
        <x:v>RunPreCheck</x:v>
      </x:c>
      <x:c r="L94" s="83" t="str">
        <x:v>부분 반영</x:v>
      </x:c>
      <x:c r="M94" s="84" t="n">
        <x:v>0.75</x:v>
      </x:c>
      <x:c r="N94" s="83" t="str">
        <x:v>일부 구현은 확인되나 실장비 연동, Timeout/Alarm/Recovery, 저장·복원 또는 고객 수용시험 증빙이 부족</x:v>
      </x:c>
    </x:row>
    <x:row r="95" ht="42" customHeight="1">
      <x:c r="A95" s="83" t="str">
        <x:v>AM-008</x:v>
      </x:c>
      <x:c r="B95" s="83" t="str">
        <x:v>Sequence 진행 모니터링</x:v>
      </x:c>
      <x:c r="C95" s="83" t="n">
        <x:v>51</x:v>
      </x:c>
      <x:c r="D95" s="83" t="str">
        <x:v>Sequence</x:v>
      </x:c>
      <x:c r="E95" s="83" t="str">
        <x:v>Stage Step 구현</x:v>
      </x:c>
      <x:c r="F95" s="83" t="str">
        <x:v>05-02</x:v>
      </x:c>
      <x:c r="G95" s="83" t="str">
        <x:v>Auto·Step 전체 Sequence</x:v>
      </x:c>
      <x:c r="H95" s="83" t="str">
        <x:v>E-SEQUENCE</x:v>
      </x:c>
      <x:c r="I95" s="83" t="str">
        <x:v>Drilling.Common/Station/CStationProcess.cs</x:v>
      </x:c>
      <x:c r="J95" s="83" t="str">
        <x:v>CStationProcess</x:v>
      </x:c>
      <x:c r="K95" s="83" t="str">
        <x:v>RunPreCheck</x:v>
      </x:c>
      <x:c r="L95" s="83" t="str">
        <x:v>부분 반영</x:v>
      </x:c>
      <x:c r="M95" s="84" t="n">
        <x:v>0.75</x:v>
      </x:c>
      <x:c r="N95" s="83" t="str">
        <x:v>일부 구현은 확인되나 실장비 연동, Timeout/Alarm/Recovery, 저장·복원 또는 고객 수용시험 증빙이 부족</x:v>
      </x:c>
    </x:row>
    <x:row r="96" ht="42" customHeight="1">
      <x:c r="A96" s="83" t="str">
        <x:v>AM-008</x:v>
      </x:c>
      <x:c r="B96" s="83" t="str">
        <x:v>Sequence 진행 모니터링</x:v>
      </x:c>
      <x:c r="C96" s="83" t="n">
        <x:v>52</x:v>
      </x:c>
      <x:c r="D96" s="83" t="str">
        <x:v>Sequence</x:v>
      </x:c>
      <x:c r="E96" s="83" t="str">
        <x:v>Optic Step 구현</x:v>
      </x:c>
      <x:c r="F96" s="83" t="str">
        <x:v>02-01</x:v>
      </x:c>
      <x:c r="G96" s="83" t="str">
        <x:v>Main/Auto 통합 화면</x:v>
      </x:c>
      <x:c r="H96" s="83" t="str">
        <x:v>E-SEQUENCE</x:v>
      </x:c>
      <x:c r="I96" s="83" t="str">
        <x:v>Drilling.Common/Station/CStationProcess.cs</x:v>
      </x:c>
      <x:c r="J96" s="83" t="str">
        <x:v>CStationProcess</x:v>
      </x:c>
      <x:c r="K96" s="83" t="str">
        <x:v>RunPreCheck</x:v>
      </x:c>
      <x:c r="L96" s="83" t="str">
        <x:v>부분 반영</x:v>
      </x:c>
      <x:c r="M96" s="84" t="n">
        <x:v>0.75</x:v>
      </x:c>
      <x:c r="N96" s="83" t="str">
        <x:v>일부 구현은 확인되나 실장비 연동, Timeout/Alarm/Recovery, 저장·복원 또는 고객 수용시험 증빙이 부족</x:v>
      </x:c>
    </x:row>
    <x:row r="97" ht="42" customHeight="1">
      <x:c r="A97" s="83" t="str">
        <x:v>AM-008</x:v>
      </x:c>
      <x:c r="B97" s="83" t="str">
        <x:v>Sequence 진행 모니터링</x:v>
      </x:c>
      <x:c r="C97" s="83" t="n">
        <x:v>52</x:v>
      </x:c>
      <x:c r="D97" s="83" t="str">
        <x:v>Sequence</x:v>
      </x:c>
      <x:c r="E97" s="83" t="str">
        <x:v>Optic Step 구현</x:v>
      </x:c>
      <x:c r="F97" s="83" t="str">
        <x:v>05-02</x:v>
      </x:c>
      <x:c r="G97" s="83" t="str">
        <x:v>Auto·Step 전체 Sequence</x:v>
      </x:c>
      <x:c r="H97" s="83" t="str">
        <x:v>E-SEQUENCE</x:v>
      </x:c>
      <x:c r="I97" s="83" t="str">
        <x:v>Drilling.Common/Station/CStationProcess.cs</x:v>
      </x:c>
      <x:c r="J97" s="83" t="str">
        <x:v>CStationProcess</x:v>
      </x:c>
      <x:c r="K97" s="83" t="str">
        <x:v>RunPreCheck</x:v>
      </x:c>
      <x:c r="L97" s="83" t="str">
        <x:v>부분 반영</x:v>
      </x:c>
      <x:c r="M97" s="84" t="n">
        <x:v>0.75</x:v>
      </x:c>
      <x:c r="N97" s="83" t="str">
        <x:v>일부 구현은 확인되나 실장비 연동, Timeout/Alarm/Recovery, 저장·복원 또는 고객 수용시험 증빙이 부족</x:v>
      </x:c>
    </x:row>
    <x:row r="98" ht="42" customHeight="1">
      <x:c r="A98" s="83" t="str">
        <x:v>AM-008</x:v>
      </x:c>
      <x:c r="B98" s="83" t="str">
        <x:v>Sequence 진행 모니터링</x:v>
      </x:c>
      <x:c r="C98" s="83" t="n">
        <x:v>53</x:v>
      </x:c>
      <x:c r="D98" s="83" t="str">
        <x:v>Sequence</x:v>
      </x:c>
      <x:c r="E98" s="83" t="str">
        <x:v>Script Build Step 구현</x:v>
      </x:c>
      <x:c r="F98" s="83" t="str">
        <x:v>02-01</x:v>
      </x:c>
      <x:c r="G98" s="83" t="str">
        <x:v>Main/Auto 통합 화면</x:v>
      </x:c>
      <x:c r="H98" s="83" t="str">
        <x:v>E-SEQUENCE</x:v>
      </x:c>
      <x:c r="I98" s="83" t="str">
        <x:v>Drilling.Common/Station/CStationProcess.cs</x:v>
      </x:c>
      <x:c r="J98" s="83" t="str">
        <x:v>CStationProcess</x:v>
      </x:c>
      <x:c r="K98" s="83" t="str">
        <x:v>RunPreCheck</x:v>
      </x:c>
      <x:c r="L98" s="83" t="str">
        <x:v>부분 반영</x:v>
      </x:c>
      <x:c r="M98" s="84" t="n">
        <x:v>0.75</x:v>
      </x:c>
      <x:c r="N98" s="83" t="str">
        <x:v>일부 구현은 확인되나 실장비 연동, Timeout/Alarm/Recovery, 저장·복원 또는 고객 수용시험 증빙이 부족</x:v>
      </x:c>
    </x:row>
    <x:row r="99" ht="42" customHeight="1">
      <x:c r="A99" s="83" t="str">
        <x:v>AM-008</x:v>
      </x:c>
      <x:c r="B99" s="83" t="str">
        <x:v>Sequence 진행 모니터링</x:v>
      </x:c>
      <x:c r="C99" s="83" t="n">
        <x:v>53</x:v>
      </x:c>
      <x:c r="D99" s="83" t="str">
        <x:v>Sequence</x:v>
      </x:c>
      <x:c r="E99" s="83" t="str">
        <x:v>Script Build Step 구현</x:v>
      </x:c>
      <x:c r="F99" s="83" t="str">
        <x:v>05-02</x:v>
      </x:c>
      <x:c r="G99" s="83" t="str">
        <x:v>Auto·Step 전체 Sequence</x:v>
      </x:c>
      <x:c r="H99" s="83" t="str">
        <x:v>E-SEQUENCE</x:v>
      </x:c>
      <x:c r="I99" s="83" t="str">
        <x:v>Drilling.Common/Station/CStationProcess.cs</x:v>
      </x:c>
      <x:c r="J99" s="83" t="str">
        <x:v>CStationProcess</x:v>
      </x:c>
      <x:c r="K99" s="83" t="str">
        <x:v>RunPreCheck</x:v>
      </x:c>
      <x:c r="L99" s="83" t="str">
        <x:v>부분 반영</x:v>
      </x:c>
      <x:c r="M99" s="84" t="n">
        <x:v>0.75</x:v>
      </x:c>
      <x:c r="N99" s="83" t="str">
        <x:v>일부 구현은 확인되나 실장비 연동, Timeout/Alarm/Recovery, 저장·복원 또는 고객 수용시험 증빙이 부족</x:v>
      </x:c>
    </x:row>
    <x:row r="100" ht="42" customHeight="1">
      <x:c r="A100" s="83" t="str">
        <x:v>AM-008</x:v>
      </x:c>
      <x:c r="B100" s="83" t="str">
        <x:v>Sequence 진행 모니터링</x:v>
      </x:c>
      <x:c r="C100" s="83" t="n">
        <x:v>54</x:v>
      </x:c>
      <x:c r="D100" s="83" t="str">
        <x:v>Sequence</x:v>
      </x:c>
      <x:c r="E100" s="83" t="str">
        <x:v>Scanning Step 구현</x:v>
      </x:c>
      <x:c r="F100" s="83" t="str">
        <x:v>02-01</x:v>
      </x:c>
      <x:c r="G100" s="83" t="str">
        <x:v>Main/Auto 통합 화면</x:v>
      </x:c>
      <x:c r="H100" s="83" t="str">
        <x:v>E-SEQUENCE</x:v>
      </x:c>
      <x:c r="I100" s="83" t="str">
        <x:v>Drilling.Common/Station/CStationProcess.cs</x:v>
      </x:c>
      <x:c r="J100" s="83" t="str">
        <x:v>CStationProcess</x:v>
      </x:c>
      <x:c r="K100" s="83" t="str">
        <x:v>RunPreCheck</x:v>
      </x:c>
      <x:c r="L100" s="83" t="str">
        <x:v>부분 반영</x:v>
      </x:c>
      <x:c r="M100" s="84" t="n">
        <x:v>0.75</x:v>
      </x:c>
      <x:c r="N100" s="83" t="str">
        <x:v>일부 구현은 확인되나 실장비 연동, Timeout/Alarm/Recovery, 저장·복원 또는 고객 수용시험 증빙이 부족</x:v>
      </x:c>
    </x:row>
    <x:row r="101" ht="42" customHeight="1">
      <x:c r="A101" s="83" t="str">
        <x:v>AM-008</x:v>
      </x:c>
      <x:c r="B101" s="83" t="str">
        <x:v>Sequence 진행 모니터링</x:v>
      </x:c>
      <x:c r="C101" s="83" t="n">
        <x:v>54</x:v>
      </x:c>
      <x:c r="D101" s="83" t="str">
        <x:v>Sequence</x:v>
      </x:c>
      <x:c r="E101" s="83" t="str">
        <x:v>Scanning Step 구현</x:v>
      </x:c>
      <x:c r="F101" s="83" t="str">
        <x:v>05-02</x:v>
      </x:c>
      <x:c r="G101" s="83" t="str">
        <x:v>Auto·Step 전체 Sequence</x:v>
      </x:c>
      <x:c r="H101" s="83" t="str">
        <x:v>E-SEQUENCE</x:v>
      </x:c>
      <x:c r="I101" s="83" t="str">
        <x:v>Drilling.Common/Station/CStationProcess.cs</x:v>
      </x:c>
      <x:c r="J101" s="83" t="str">
        <x:v>CStationProcess</x:v>
      </x:c>
      <x:c r="K101" s="83" t="str">
        <x:v>RunPreCheck</x:v>
      </x:c>
      <x:c r="L101" s="83" t="str">
        <x:v>부분 반영</x:v>
      </x:c>
      <x:c r="M101" s="84" t="n">
        <x:v>0.75</x:v>
      </x:c>
      <x:c r="N101" s="83" t="str">
        <x:v>일부 구현은 확인되나 실장비 연동, Timeout/Alarm/Recovery, 저장·복원 또는 고객 수용시험 증빙이 부족</x:v>
      </x:c>
    </x:row>
    <x:row r="102" ht="42" customHeight="1">
      <x:c r="A102" s="83" t="str">
        <x:v>AM-008</x:v>
      </x:c>
      <x:c r="B102" s="83" t="str">
        <x:v>Sequence 진행 모니터링</x:v>
      </x:c>
      <x:c r="C102" s="83" t="n">
        <x:v>55</x:v>
      </x:c>
      <x:c r="D102" s="83" t="str">
        <x:v>Sequence</x:v>
      </x:c>
      <x:c r="E102" s="83" t="str">
        <x:v>Review Step 구현</x:v>
      </x:c>
      <x:c r="F102" s="83" t="str">
        <x:v>02-01</x:v>
      </x:c>
      <x:c r="G102" s="83" t="str">
        <x:v>Main/Auto 통합 화면</x:v>
      </x:c>
      <x:c r="H102" s="83" t="str">
        <x:v>E-SEQUENCE</x:v>
      </x:c>
      <x:c r="I102" s="83" t="str">
        <x:v>Drilling.Common/Station/CStationProcess.cs</x:v>
      </x:c>
      <x:c r="J102" s="83" t="str">
        <x:v>CStationProcess</x:v>
      </x:c>
      <x:c r="K102" s="83" t="str">
        <x:v>RunPreCheck</x:v>
      </x:c>
      <x:c r="L102" s="83" t="str">
        <x:v>부분 반영</x:v>
      </x:c>
      <x:c r="M102" s="84" t="n">
        <x:v>0.75</x:v>
      </x:c>
      <x:c r="N102" s="83" t="str">
        <x:v>일부 구현은 확인되나 실장비 연동, Timeout/Alarm/Recovery, 저장·복원 또는 고객 수용시험 증빙이 부족</x:v>
      </x:c>
    </x:row>
    <x:row r="103" ht="42" customHeight="1">
      <x:c r="A103" s="83" t="str">
        <x:v>AM-008</x:v>
      </x:c>
      <x:c r="B103" s="83" t="str">
        <x:v>Sequence 진행 모니터링</x:v>
      </x:c>
      <x:c r="C103" s="83" t="n">
        <x:v>55</x:v>
      </x:c>
      <x:c r="D103" s="83" t="str">
        <x:v>Sequence</x:v>
      </x:c>
      <x:c r="E103" s="83" t="str">
        <x:v>Review Step 구현</x:v>
      </x:c>
      <x:c r="F103" s="83" t="str">
        <x:v>05-02</x:v>
      </x:c>
      <x:c r="G103" s="83" t="str">
        <x:v>Auto·Step 전체 Sequence</x:v>
      </x:c>
      <x:c r="H103" s="83" t="str">
        <x:v>E-SEQUENCE</x:v>
      </x:c>
      <x:c r="I103" s="83" t="str">
        <x:v>Drilling.Common/Station/CStationProcess.cs</x:v>
      </x:c>
      <x:c r="J103" s="83" t="str">
        <x:v>CStationProcess</x:v>
      </x:c>
      <x:c r="K103" s="83" t="str">
        <x:v>RunPreCheck</x:v>
      </x:c>
      <x:c r="L103" s="83" t="str">
        <x:v>부분 반영</x:v>
      </x:c>
      <x:c r="M103" s="84" t="n">
        <x:v>0.75</x:v>
      </x:c>
      <x:c r="N103" s="83" t="str">
        <x:v>일부 구현은 확인되나 실장비 연동, Timeout/Alarm/Recovery, 저장·복원 또는 고객 수용시험 증빙이 부족</x:v>
      </x:c>
    </x:row>
    <x:row r="104" ht="42" customHeight="1">
      <x:c r="A104" s="83" t="str">
        <x:v>AM-008</x:v>
      </x:c>
      <x:c r="B104" s="83" t="str">
        <x:v>Sequence 진행 모니터링</x:v>
      </x:c>
      <x:c r="C104" s="83" t="n">
        <x:v>56</x:v>
      </x:c>
      <x:c r="D104" s="83" t="str">
        <x:v>Sequence</x:v>
      </x:c>
      <x:c r="E104" s="83" t="str">
        <x:v>Power Check Step 구현</x:v>
      </x:c>
      <x:c r="F104" s="83" t="str">
        <x:v>02-01</x:v>
      </x:c>
      <x:c r="G104" s="83" t="str">
        <x:v>Main/Auto 통합 화면</x:v>
      </x:c>
      <x:c r="H104" s="83" t="str">
        <x:v>E-SEQUENCE</x:v>
      </x:c>
      <x:c r="I104" s="83" t="str">
        <x:v>Drilling.Common/Station/CStationProcess.cs</x:v>
      </x:c>
      <x:c r="J104" s="83" t="str">
        <x:v>CStationProcess</x:v>
      </x:c>
      <x:c r="K104" s="83" t="str">
        <x:v>RunPreCheck</x:v>
      </x:c>
      <x:c r="L104" s="83" t="str">
        <x:v>부분 반영</x:v>
      </x:c>
      <x:c r="M104" s="84" t="n">
        <x:v>0.75</x:v>
      </x:c>
      <x:c r="N104" s="83" t="str">
        <x:v>일부 구현은 확인되나 실장비 연동, Timeout/Alarm/Recovery, 저장·복원 또는 고객 수용시험 증빙이 부족</x:v>
      </x:c>
    </x:row>
    <x:row r="105" ht="42" customHeight="1">
      <x:c r="A105" s="83" t="str">
        <x:v>AM-008</x:v>
      </x:c>
      <x:c r="B105" s="83" t="str">
        <x:v>Sequence 진행 모니터링</x:v>
      </x:c>
      <x:c r="C105" s="83" t="n">
        <x:v>56</x:v>
      </x:c>
      <x:c r="D105" s="83" t="str">
        <x:v>Sequence</x:v>
      </x:c>
      <x:c r="E105" s="83" t="str">
        <x:v>Power Check Step 구현</x:v>
      </x:c>
      <x:c r="F105" s="83" t="str">
        <x:v>05-02</x:v>
      </x:c>
      <x:c r="G105" s="83" t="str">
        <x:v>Auto·Step 전체 Sequence</x:v>
      </x:c>
      <x:c r="H105" s="83" t="str">
        <x:v>E-SEQUENCE</x:v>
      </x:c>
      <x:c r="I105" s="83" t="str">
        <x:v>Drilling.Common/Station/CStationProcess.cs</x:v>
      </x:c>
      <x:c r="J105" s="83" t="str">
        <x:v>CStationProcess</x:v>
      </x:c>
      <x:c r="K105" s="83" t="str">
        <x:v>RunPreCheck</x:v>
      </x:c>
      <x:c r="L105" s="83" t="str">
        <x:v>부분 반영</x:v>
      </x:c>
      <x:c r="M105" s="84" t="n">
        <x:v>0.75</x:v>
      </x:c>
      <x:c r="N105" s="83" t="str">
        <x:v>일부 구현은 확인되나 실장비 연동, Timeout/Alarm/Recovery, 저장·복원 또는 고객 수용시험 증빙이 부족</x:v>
      </x:c>
    </x:row>
    <x:row r="106" ht="42" customHeight="1">
      <x:c r="A106" s="83" t="str">
        <x:v>AM-008</x:v>
      </x:c>
      <x:c r="B106" s="83" t="str">
        <x:v>Sequence 진행 모니터링</x:v>
      </x:c>
      <x:c r="C106" s="83" t="n">
        <x:v>57</x:v>
      </x:c>
      <x:c r="D106" s="83" t="str">
        <x:v>Sequence</x:v>
      </x:c>
      <x:c r="E106" s="83" t="str">
        <x:v>Process Complete Step 구현</x:v>
      </x:c>
      <x:c r="F106" s="83" t="str">
        <x:v>02-01</x:v>
      </x:c>
      <x:c r="G106" s="83" t="str">
        <x:v>Main/Auto 통합 화면</x:v>
      </x:c>
      <x:c r="H106" s="83" t="str">
        <x:v>E-SEQUENCE</x:v>
      </x:c>
      <x:c r="I106" s="83" t="str">
        <x:v>Drilling.Common/Station/CStationProcess.cs</x:v>
      </x:c>
      <x:c r="J106" s="83" t="str">
        <x:v>CStationProcess</x:v>
      </x:c>
      <x:c r="K106" s="83" t="str">
        <x:v>RunPreCheck</x:v>
      </x:c>
      <x:c r="L106" s="83" t="str">
        <x:v>부분 반영</x:v>
      </x:c>
      <x:c r="M106" s="84" t="n">
        <x:v>0.75</x:v>
      </x:c>
      <x:c r="N106" s="83" t="str">
        <x:v>일부 구현은 확인되나 실장비 연동, Timeout/Alarm/Recovery, 저장·복원 또는 고객 수용시험 증빙이 부족</x:v>
      </x:c>
    </x:row>
    <x:row r="107" ht="42" customHeight="1">
      <x:c r="A107" s="83" t="str">
        <x:v>AM-008</x:v>
      </x:c>
      <x:c r="B107" s="83" t="str">
        <x:v>Sequence 진행 모니터링</x:v>
      </x:c>
      <x:c r="C107" s="83" t="n">
        <x:v>57</x:v>
      </x:c>
      <x:c r="D107" s="83" t="str">
        <x:v>Sequence</x:v>
      </x:c>
      <x:c r="E107" s="83" t="str">
        <x:v>Process Complete Step 구현</x:v>
      </x:c>
      <x:c r="F107" s="83" t="str">
        <x:v>05-02</x:v>
      </x:c>
      <x:c r="G107" s="83" t="str">
        <x:v>Auto·Step 전체 Sequence</x:v>
      </x:c>
      <x:c r="H107" s="83" t="str">
        <x:v>E-SEQUENCE</x:v>
      </x:c>
      <x:c r="I107" s="83" t="str">
        <x:v>Drilling.Common/Station/CStationProcess.cs</x:v>
      </x:c>
      <x:c r="J107" s="83" t="str">
        <x:v>CStationProcess</x:v>
      </x:c>
      <x:c r="K107" s="83" t="str">
        <x:v>RunPreCheck</x:v>
      </x:c>
      <x:c r="L107" s="83" t="str">
        <x:v>부분 반영</x:v>
      </x:c>
      <x:c r="M107" s="84" t="n">
        <x:v>0.75</x:v>
      </x:c>
      <x:c r="N107" s="83" t="str">
        <x:v>일부 구현은 확인되나 실장비 연동, Timeout/Alarm/Recovery, 저장·복원 또는 고객 수용시험 증빙이 부족</x:v>
      </x:c>
    </x:row>
    <x:row r="108" ht="42" customHeight="1">
      <x:c r="A108" s="83" t="str">
        <x:v>AM-008</x:v>
      </x:c>
      <x:c r="B108" s="83" t="str">
        <x:v>Sequence 진행 모니터링</x:v>
      </x:c>
      <x:c r="C108" s="83" t="n">
        <x:v>58</x:v>
      </x:c>
      <x:c r="D108" s="83" t="str">
        <x:v>Sequence</x:v>
      </x:c>
      <x:c r="E108" s="83" t="str">
        <x:v>Sequence Stop 구현</x:v>
      </x:c>
      <x:c r="F108" s="83" t="str">
        <x:v>02-01</x:v>
      </x:c>
      <x:c r="G108" s="83" t="str">
        <x:v>Main/Auto 통합 화면</x:v>
      </x:c>
      <x:c r="H108" s="83" t="str">
        <x:v>E-SEQUENCE-STOP</x:v>
      </x:c>
      <x:c r="I108" s="83" t="str">
        <x:v>Drilling.Common/Station/CStationProcess.cs</x:v>
      </x:c>
      <x:c r="J108" s="83" t="str">
        <x:v>CStationProcess</x:v>
      </x:c>
      <x:c r="K108" s="83" t="str">
        <x:v>ProcessReset</x:v>
      </x:c>
      <x:c r="L108" s="83" t="str">
        <x:v>부분 반영</x:v>
      </x:c>
      <x:c r="M108" s="84" t="n">
        <x:v>0.75</x:v>
      </x:c>
      <x:c r="N108" s="83" t="str">
        <x:v>일부 구현은 확인되나 실장비 연동, Timeout/Alarm/Recovery, 저장·복원 또는 고객 수용시험 증빙이 부족</x:v>
      </x:c>
    </x:row>
    <x:row r="109" ht="42" customHeight="1">
      <x:c r="A109" s="83" t="str">
        <x:v>AM-008</x:v>
      </x:c>
      <x:c r="B109" s="83" t="str">
        <x:v>Sequence 진행 모니터링</x:v>
      </x:c>
      <x:c r="C109" s="83" t="n">
        <x:v>58</x:v>
      </x:c>
      <x:c r="D109" s="83" t="str">
        <x:v>Sequence</x:v>
      </x:c>
      <x:c r="E109" s="83" t="str">
        <x:v>Sequence Stop 구현</x:v>
      </x:c>
      <x:c r="F109" s="83" t="str">
        <x:v>05-02</x:v>
      </x:c>
      <x:c r="G109" s="83" t="str">
        <x:v>Auto·Step 전체 Sequence</x:v>
      </x:c>
      <x:c r="H109" s="83" t="str">
        <x:v>E-SEQUENCE-STOP</x:v>
      </x:c>
      <x:c r="I109" s="83" t="str">
        <x:v>Drilling.Common/Station/CStationProcess.cs</x:v>
      </x:c>
      <x:c r="J109" s="83" t="str">
        <x:v>CStationProcess</x:v>
      </x:c>
      <x:c r="K109" s="83" t="str">
        <x:v>ProcessReset</x:v>
      </x:c>
      <x:c r="L109" s="83" t="str">
        <x:v>부분 반영</x:v>
      </x:c>
      <x:c r="M109" s="84" t="n">
        <x:v>0.75</x:v>
      </x:c>
      <x:c r="N109" s="83" t="str">
        <x:v>일부 구현은 확인되나 실장비 연동, Timeout/Alarm/Recovery, 저장·복원 또는 고객 수용시험 증빙이 부족</x:v>
      </x:c>
    </x:row>
    <x:row r="110" ht="42" customHeight="1">
      <x:c r="A110" s="83" t="str">
        <x:v>AM-008</x:v>
      </x:c>
      <x:c r="B110" s="83" t="str">
        <x:v>Sequence 진행 모니터링</x:v>
      </x:c>
      <x:c r="C110" s="83" t="n">
        <x:v>76</x:v>
      </x:c>
      <x:c r="D110" s="83" t="str">
        <x:v>기능</x:v>
      </x:c>
      <x:c r="E110" s="83" t="str">
        <x:v>Main 화면 내 기능 구현</x:v>
      </x:c>
      <x:c r="F110" s="83" t="str">
        <x:v>02-01</x:v>
      </x:c>
      <x:c r="G110" s="83" t="str">
        <x:v>Main/Auto 통합 화면</x:v>
      </x:c>
      <x:c r="H110" s="83" t="str">
        <x:v>E-UI-MAIN</x:v>
      </x:c>
      <x:c r="I110" s="83" t="str">
        <x:v>Drilling.UI/Menu/Menus/CMenuMain.cs</x:v>
      </x:c>
      <x:c r="J110" s="83" t="str">
        <x:v>CMenuMain</x:v>
      </x:c>
      <x:c r="K110" s="83" t="str">
        <x:v>RefreshLiveStatus</x:v>
      </x:c>
      <x:c r="L110" s="83" t="str">
        <x:v>부분 반영</x:v>
      </x:c>
      <x:c r="M110" s="84" t="n">
        <x:v>0.75</x:v>
      </x:c>
      <x:c r="N110" s="83" t="str">
        <x:v>일부 구현은 확인되나 실장비 연동, Timeout/Alarm/Recovery, 저장·복원 또는 고객 수용시험 증빙이 부족</x:v>
      </x:c>
    </x:row>
    <x:row r="111" ht="42" customHeight="1">
      <x:c r="A111" s="83" t="str">
        <x:v>AM-008</x:v>
      </x:c>
      <x:c r="B111" s="83" t="str">
        <x:v>Sequence 진행 모니터링</x:v>
      </x:c>
      <x:c r="C111" s="83" t="n">
        <x:v>76</x:v>
      </x:c>
      <x:c r="D111" s="83" t="str">
        <x:v>기능</x:v>
      </x:c>
      <x:c r="E111" s="83" t="str">
        <x:v>Main 화면 내 기능 구현</x:v>
      </x:c>
      <x:c r="F111" s="83" t="str">
        <x:v>05-02</x:v>
      </x:c>
      <x:c r="G111" s="83" t="str">
        <x:v>Auto·Step 전체 Sequence</x:v>
      </x:c>
      <x:c r="H111" s="83" t="str">
        <x:v>E-UI-MAIN</x:v>
      </x:c>
      <x:c r="I111" s="83" t="str">
        <x:v>Drilling.UI/Menu/Menus/CMenuMain.cs</x:v>
      </x:c>
      <x:c r="J111" s="83" t="str">
        <x:v>CMenuMain</x:v>
      </x:c>
      <x:c r="K111" s="83" t="str">
        <x:v>RefreshLiveStatus</x:v>
      </x:c>
      <x:c r="L111" s="83" t="str">
        <x:v>부분 반영</x:v>
      </x:c>
      <x:c r="M111" s="84" t="n">
        <x:v>0.75</x:v>
      </x:c>
      <x:c r="N111" s="83" t="str">
        <x:v>일부 구현은 확인되나 실장비 연동, Timeout/Alarm/Recovery, 저장·복원 또는 고객 수용시험 증빙이 부족</x:v>
      </x:c>
    </x:row>
    <x:row r="112" ht="42" customHeight="1">
      <x:c r="A112" s="83" t="str">
        <x:v>AM-009</x:v>
      </x:c>
      <x:c r="B112" s="83" t="str">
        <x:v>운영 환경 현황 모니터링</x:v>
      </x:c>
      <x:c r="C112" s="83" t="n">
        <x:v>1</x:v>
      </x:c>
      <x:c r="D112" s="83" t="str">
        <x:v>UI</x:v>
      </x:c>
      <x:c r="E112" s="83" t="str">
        <x:v>Main 화면 - Sequence 진행 상태 표시 영역 구현</x:v>
      </x:c>
      <x:c r="F112" s="83" t="str">
        <x:v>02-01</x:v>
      </x:c>
      <x:c r="G112" s="83" t="str">
        <x:v>Main/Auto 통합 화면</x:v>
      </x:c>
      <x:c r="H112" s="83" t="str">
        <x:v>E-UI-MAIN</x:v>
      </x:c>
      <x:c r="I112" s="83" t="str">
        <x:v>Drilling.UI/Menu/Menus/CMenuMain.cs</x:v>
      </x:c>
      <x:c r="J112" s="83" t="str">
        <x:v>CMenuMain</x:v>
      </x:c>
      <x:c r="K112" s="83" t="str">
        <x:v>RefreshLiveStatus</x:v>
      </x:c>
      <x:c r="L112" s="83" t="str">
        <x:v>부분 반영</x:v>
      </x:c>
      <x:c r="M112" s="84" t="n">
        <x:v>0.83</x:v>
      </x:c>
      <x:c r="N112" s="83" t="str">
        <x:v>일부 구현은 확인되나 실장비 연동, Timeout/Alarm/Recovery, 저장·복원 또는 고객 수용시험 증빙이 부족</x:v>
      </x:c>
    </x:row>
    <x:row r="113" ht="42" customHeight="1">
      <x:c r="A113" s="83" t="str">
        <x:v>AM-009</x:v>
      </x:c>
      <x:c r="B113" s="83" t="str">
        <x:v>운영 환경 현황 모니터링</x:v>
      </x:c>
      <x:c r="C113" s="83" t="n">
        <x:v>1</x:v>
      </x:c>
      <x:c r="D113" s="83" t="str">
        <x:v>UI</x:v>
      </x:c>
      <x:c r="E113" s="83" t="str">
        <x:v>Main 화면 - Sequence 진행 상태 표시 영역 구현</x:v>
      </x:c>
      <x:c r="F113" s="83" t="str">
        <x:v>02-04</x:v>
      </x:c>
      <x:c r="G113" s="83" t="str">
        <x:v>Setting·Alarm·History 화면</x:v>
      </x:c>
      <x:c r="H113" s="83" t="str">
        <x:v>E-UI-MAIN</x:v>
      </x:c>
      <x:c r="I113" s="83" t="str">
        <x:v>Drilling.UI/Menu/Menus/CMenuMain.cs</x:v>
      </x:c>
      <x:c r="J113" s="83" t="str">
        <x:v>CMenuMain</x:v>
      </x:c>
      <x:c r="K113" s="83" t="str">
        <x:v>RefreshLiveStatus</x:v>
      </x:c>
      <x:c r="L113" s="83" t="str">
        <x:v>부분 반영</x:v>
      </x:c>
      <x:c r="M113" s="84" t="n">
        <x:v>0.83</x:v>
      </x:c>
      <x:c r="N113" s="83" t="str">
        <x:v>일부 구현은 확인되나 실장비 연동, Timeout/Alarm/Recovery, 저장·복원 또는 고객 수용시험 증빙이 부족</x:v>
      </x:c>
    </x:row>
    <x:row r="114" ht="42" customHeight="1">
      <x:c r="A114" s="83" t="str">
        <x:v>AM-009</x:v>
      </x:c>
      <x:c r="B114" s="83" t="str">
        <x:v>운영 환경 현황 모니터링</x:v>
      </x:c>
      <x:c r="C114" s="83" t="n">
        <x:v>10</x:v>
      </x:c>
      <x:c r="D114" s="83" t="str">
        <x:v>UI</x:v>
      </x:c>
      <x:c r="E114" s="83" t="str">
        <x:v>Config 화면 - 파일 관리 구현</x:v>
      </x:c>
      <x:c r="F114" s="83" t="str">
        <x:v>02-01</x:v>
      </x:c>
      <x:c r="G114" s="83" t="str">
        <x:v>Main/Auto 통합 화면</x:v>
      </x:c>
      <x:c r="H114" s="83" t="str">
        <x:v>E-UI-SETTING</x:v>
      </x:c>
      <x:c r="I114" s="83" t="str">
        <x:v>Drilling.UI/Menu/Menus/CMenuSetting.cs</x:v>
      </x:c>
      <x:c r="J114" s="83" t="str">
        <x:v>CMenuSetting</x:v>
      </x:c>
      <x:c r="K114" s="83" t="str">
        <x:v>ConnectInterface</x:v>
      </x:c>
      <x:c r="L114" s="83" t="str">
        <x:v>부분 반영</x:v>
      </x:c>
      <x:c r="M114" s="84" t="n">
        <x:v>0.83</x:v>
      </x:c>
      <x:c r="N114" s="83" t="str">
        <x:v>일부 구현은 확인되나 실장비 연동, Timeout/Alarm/Recovery, 저장·복원 또는 고객 수용시험 증빙이 부족</x:v>
      </x:c>
    </x:row>
    <x:row r="115" ht="42" customHeight="1">
      <x:c r="A115" s="83" t="str">
        <x:v>AM-009</x:v>
      </x:c>
      <x:c r="B115" s="83" t="str">
        <x:v>운영 환경 현황 모니터링</x:v>
      </x:c>
      <x:c r="C115" s="83" t="n">
        <x:v>10</x:v>
      </x:c>
      <x:c r="D115" s="83" t="str">
        <x:v>UI</x:v>
      </x:c>
      <x:c r="E115" s="83" t="str">
        <x:v>Config 화면 - 파일 관리 구현</x:v>
      </x:c>
      <x:c r="F115" s="83" t="str">
        <x:v>02-04</x:v>
      </x:c>
      <x:c r="G115" s="83" t="str">
        <x:v>Setting·Alarm·History 화면</x:v>
      </x:c>
      <x:c r="H115" s="83" t="str">
        <x:v>E-UI-SETTING</x:v>
      </x:c>
      <x:c r="I115" s="83" t="str">
        <x:v>Drilling.UI/Menu/Menus/CMenuSetting.cs</x:v>
      </x:c>
      <x:c r="J115" s="83" t="str">
        <x:v>CMenuSetting</x:v>
      </x:c>
      <x:c r="K115" s="83" t="str">
        <x:v>ConnectInterface</x:v>
      </x:c>
      <x:c r="L115" s="83" t="str">
        <x:v>부분 반영</x:v>
      </x:c>
      <x:c r="M115" s="84" t="n">
        <x:v>0.83</x:v>
      </x:c>
      <x:c r="N115" s="83" t="str">
        <x:v>일부 구현은 확인되나 실장비 연동, Timeout/Alarm/Recovery, 저장·복원 또는 고객 수용시험 증빙이 부족</x:v>
      </x:c>
    </x:row>
    <x:row r="116" ht="42" customHeight="1">
      <x:c r="A116" s="83" t="str">
        <x:v>AM-009</x:v>
      </x:c>
      <x:c r="B116" s="83" t="str">
        <x:v>운영 환경 현황 모니터링</x:v>
      </x:c>
      <x:c r="C116" s="83" t="n">
        <x:v>11</x:v>
      </x:c>
      <x:c r="D116" s="83" t="str">
        <x:v>UI</x:v>
      </x:c>
      <x:c r="E116" s="83" t="str">
        <x:v>Config 화면 - Parameter 관리 화면 구현</x:v>
      </x:c>
      <x:c r="F116" s="83" t="str">
        <x:v>02-01</x:v>
      </x:c>
      <x:c r="G116" s="83" t="str">
        <x:v>Main/Auto 통합 화면</x:v>
      </x:c>
      <x:c r="H116" s="83" t="str">
        <x:v>E-UI-SETTING</x:v>
      </x:c>
      <x:c r="I116" s="83" t="str">
        <x:v>Drilling.UI/Menu/Menus/CMenuSetting.cs</x:v>
      </x:c>
      <x:c r="J116" s="83" t="str">
        <x:v>CMenuSetting</x:v>
      </x:c>
      <x:c r="K116" s="83" t="str">
        <x:v>ConnectInterface</x:v>
      </x:c>
      <x:c r="L116" s="83" t="str">
        <x:v>부분 반영</x:v>
      </x:c>
      <x:c r="M116" s="84" t="n">
        <x:v>0.83</x:v>
      </x:c>
      <x:c r="N116" s="83" t="str">
        <x:v>일부 구현은 확인되나 실장비 연동, Timeout/Alarm/Recovery, 저장·복원 또는 고객 수용시험 증빙이 부족</x:v>
      </x:c>
    </x:row>
    <x:row r="117" ht="42" customHeight="1">
      <x:c r="A117" s="83" t="str">
        <x:v>AM-009</x:v>
      </x:c>
      <x:c r="B117" s="83" t="str">
        <x:v>운영 환경 현황 모니터링</x:v>
      </x:c>
      <x:c r="C117" s="83" t="n">
        <x:v>11</x:v>
      </x:c>
      <x:c r="D117" s="83" t="str">
        <x:v>UI</x:v>
      </x:c>
      <x:c r="E117" s="83" t="str">
        <x:v>Config 화면 - Parameter 관리 화면 구현</x:v>
      </x:c>
      <x:c r="F117" s="83" t="str">
        <x:v>02-04</x:v>
      </x:c>
      <x:c r="G117" s="83" t="str">
        <x:v>Setting·Alarm·History 화면</x:v>
      </x:c>
      <x:c r="H117" s="83" t="str">
        <x:v>E-UI-SETTING</x:v>
      </x:c>
      <x:c r="I117" s="83" t="str">
        <x:v>Drilling.UI/Menu/Menus/CMenuSetting.cs</x:v>
      </x:c>
      <x:c r="J117" s="83" t="str">
        <x:v>CMenuSetting</x:v>
      </x:c>
      <x:c r="K117" s="83" t="str">
        <x:v>ConnectInterface</x:v>
      </x:c>
      <x:c r="L117" s="83" t="str">
        <x:v>부분 반영</x:v>
      </x:c>
      <x:c r="M117" s="84" t="n">
        <x:v>0.83</x:v>
      </x:c>
      <x:c r="N117" s="83" t="str">
        <x:v>일부 구현은 확인되나 실장비 연동, Timeout/Alarm/Recovery, 저장·복원 또는 고객 수용시험 증빙이 부족</x:v>
      </x:c>
    </x:row>
    <x:row r="118" ht="42" customHeight="1">
      <x:c r="A118" s="83" t="str">
        <x:v>AM-009</x:v>
      </x:c>
      <x:c r="B118" s="83" t="str">
        <x:v>운영 환경 현황 모니터링</x:v>
      </x:c>
      <x:c r="C118" s="83" t="n">
        <x:v>76</x:v>
      </x:c>
      <x:c r="D118" s="83" t="str">
        <x:v>기능</x:v>
      </x:c>
      <x:c r="E118" s="83" t="str">
        <x:v>Main 화면 내 기능 구현</x:v>
      </x:c>
      <x:c r="F118" s="83" t="str">
        <x:v>02-01</x:v>
      </x:c>
      <x:c r="G118" s="83" t="str">
        <x:v>Main/Auto 통합 화면</x:v>
      </x:c>
      <x:c r="H118" s="83" t="str">
        <x:v>E-UI-MAIN</x:v>
      </x:c>
      <x:c r="I118" s="83" t="str">
        <x:v>Drilling.UI/Menu/Menus/CMenuMain.cs</x:v>
      </x:c>
      <x:c r="J118" s="83" t="str">
        <x:v>CMenuMain</x:v>
      </x:c>
      <x:c r="K118" s="83" t="str">
        <x:v>RefreshLiveStatus</x:v>
      </x:c>
      <x:c r="L118" s="83" t="str">
        <x:v>부분 반영</x:v>
      </x:c>
      <x:c r="M118" s="84" t="n">
        <x:v>0.83</x:v>
      </x:c>
      <x:c r="N118" s="83" t="str">
        <x:v>일부 구현은 확인되나 실장비 연동, Timeout/Alarm/Recovery, 저장·복원 또는 고객 수용시험 증빙이 부족</x:v>
      </x:c>
    </x:row>
    <x:row r="119" ht="42" customHeight="1">
      <x:c r="A119" s="83" t="str">
        <x:v>AM-009</x:v>
      </x:c>
      <x:c r="B119" s="83" t="str">
        <x:v>운영 환경 현황 모니터링</x:v>
      </x:c>
      <x:c r="C119" s="83" t="n">
        <x:v>76</x:v>
      </x:c>
      <x:c r="D119" s="83" t="str">
        <x:v>기능</x:v>
      </x:c>
      <x:c r="E119" s="83" t="str">
        <x:v>Main 화면 내 기능 구현</x:v>
      </x:c>
      <x:c r="F119" s="83" t="str">
        <x:v>02-04</x:v>
      </x:c>
      <x:c r="G119" s="83" t="str">
        <x:v>Setting·Alarm·History 화면</x:v>
      </x:c>
      <x:c r="H119" s="83" t="str">
        <x:v>E-UI-MAIN</x:v>
      </x:c>
      <x:c r="I119" s="83" t="str">
        <x:v>Drilling.UI/Menu/Menus/CMenuMain.cs</x:v>
      </x:c>
      <x:c r="J119" s="83" t="str">
        <x:v>CMenuMain</x:v>
      </x:c>
      <x:c r="K119" s="83" t="str">
        <x:v>RefreshLiveStatus</x:v>
      </x:c>
      <x:c r="L119" s="83" t="str">
        <x:v>부분 반영</x:v>
      </x:c>
      <x:c r="M119" s="84" t="n">
        <x:v>0.83</x:v>
      </x:c>
      <x:c r="N119" s="83" t="str">
        <x:v>일부 구현은 확인되나 실장비 연동, Timeout/Alarm/Recovery, 저장·복원 또는 고객 수용시험 증빙이 부족</x:v>
      </x:c>
    </x:row>
    <x:row r="120" ht="42" customHeight="1">
      <x:c r="A120" s="83" t="str">
        <x:v>AM-009</x:v>
      </x:c>
      <x:c r="B120" s="83" t="str">
        <x:v>운영 환경 현황 모니터링</x:v>
      </x:c>
      <x:c r="C120" s="83" t="n">
        <x:v>100</x:v>
      </x:c>
      <x:c r="D120" s="83" t="str">
        <x:v>기능</x:v>
      </x:c>
      <x:c r="E120" s="83" t="str">
        <x:v>Config Parameter - 목록 확정</x:v>
      </x:c>
      <x:c r="F120" s="83" t="str">
        <x:v>02-01</x:v>
      </x:c>
      <x:c r="G120" s="83" t="str">
        <x:v>Main/Auto 통합 화면</x:v>
      </x:c>
      <x:c r="H120" s="83" t="str">
        <x:v>E-SETTING-FILE</x:v>
      </x:c>
      <x:c r="I120" s="83" t="str">
        <x:v>Drilling.File/JHMI/CSettingFile.cs</x:v>
      </x:c>
      <x:c r="J120" s="83" t="str">
        <x:v>CSettingFile</x:v>
      </x:c>
      <x:c r="K120" s="83" t="str">
        <x:v>Save</x:v>
      </x:c>
      <x:c r="L120" s="83" t="str">
        <x:v>부분 반영</x:v>
      </x:c>
      <x:c r="M120" s="84" t="n">
        <x:v>0.83</x:v>
      </x:c>
      <x:c r="N120" s="83" t="str">
        <x:v>일부 구현은 확인되나 실장비 연동, Timeout/Alarm/Recovery, 저장·복원 또는 고객 수용시험 증빙이 부족</x:v>
      </x:c>
    </x:row>
    <x:row r="121" ht="42" customHeight="1">
      <x:c r="A121" s="83" t="str">
        <x:v>AM-009</x:v>
      </x:c>
      <x:c r="B121" s="83" t="str">
        <x:v>운영 환경 현황 모니터링</x:v>
      </x:c>
      <x:c r="C121" s="83" t="n">
        <x:v>100</x:v>
      </x:c>
      <x:c r="D121" s="83" t="str">
        <x:v>기능</x:v>
      </x:c>
      <x:c r="E121" s="83" t="str">
        <x:v>Config Parameter - 목록 확정</x:v>
      </x:c>
      <x:c r="F121" s="83" t="str">
        <x:v>02-04</x:v>
      </x:c>
      <x:c r="G121" s="83" t="str">
        <x:v>Setting·Alarm·History 화면</x:v>
      </x:c>
      <x:c r="H121" s="83" t="str">
        <x:v>E-SETTING-FILE</x:v>
      </x:c>
      <x:c r="I121" s="83" t="str">
        <x:v>Drilling.File/JHMI/CSettingFile.cs</x:v>
      </x:c>
      <x:c r="J121" s="83" t="str">
        <x:v>CSettingFile</x:v>
      </x:c>
      <x:c r="K121" s="83" t="str">
        <x:v>Save</x:v>
      </x:c>
      <x:c r="L121" s="83" t="str">
        <x:v>부분 반영</x:v>
      </x:c>
      <x:c r="M121" s="84" t="n">
        <x:v>0.83</x:v>
      </x:c>
      <x:c r="N121" s="83" t="str">
        <x:v>일부 구현은 확인되나 실장비 연동, Timeout/Alarm/Recovery, 저장·복원 또는 고객 수용시험 증빙이 부족</x:v>
      </x:c>
    </x:row>
    <x:row r="122" ht="42" customHeight="1">
      <x:c r="A122" s="83" t="str">
        <x:v>AM-009</x:v>
      </x:c>
      <x:c r="B122" s="83" t="str">
        <x:v>운영 환경 현황 모니터링</x:v>
      </x:c>
      <x:c r="C122" s="83" t="n">
        <x:v>101</x:v>
      </x:c>
      <x:c r="D122" s="83" t="str">
        <x:v>기능</x:v>
      </x:c>
      <x:c r="E122" s="83" t="str">
        <x:v>Config Parameter 수정·저장 기능 구현</x:v>
      </x:c>
      <x:c r="F122" s="83" t="str">
        <x:v>02-01</x:v>
      </x:c>
      <x:c r="G122" s="83" t="str">
        <x:v>Main/Auto 통합 화면</x:v>
      </x:c>
      <x:c r="H122" s="83" t="str">
        <x:v>E-SETTING-FILE</x:v>
      </x:c>
      <x:c r="I122" s="83" t="str">
        <x:v>Drilling.File/JHMI/CSettingFile.cs</x:v>
      </x:c>
      <x:c r="J122" s="83" t="str">
        <x:v>CSettingFile</x:v>
      </x:c>
      <x:c r="K122" s="83" t="str">
        <x:v>Save</x:v>
      </x:c>
      <x:c r="L122" s="83" t="str">
        <x:v>부분 반영</x:v>
      </x:c>
      <x:c r="M122" s="84" t="n">
        <x:v>0.83</x:v>
      </x:c>
      <x:c r="N122" s="83" t="str">
        <x:v>일부 구현은 확인되나 실장비 연동, Timeout/Alarm/Recovery, 저장·복원 또는 고객 수용시험 증빙이 부족</x:v>
      </x:c>
    </x:row>
    <x:row r="123" ht="42" customHeight="1">
      <x:c r="A123" s="83" t="str">
        <x:v>AM-009</x:v>
      </x:c>
      <x:c r="B123" s="83" t="str">
        <x:v>운영 환경 현황 모니터링</x:v>
      </x:c>
      <x:c r="C123" s="83" t="n">
        <x:v>101</x:v>
      </x:c>
      <x:c r="D123" s="83" t="str">
        <x:v>기능</x:v>
      </x:c>
      <x:c r="E123" s="83" t="str">
        <x:v>Config Parameter 수정·저장 기능 구현</x:v>
      </x:c>
      <x:c r="F123" s="83" t="str">
        <x:v>02-04</x:v>
      </x:c>
      <x:c r="G123" s="83" t="str">
        <x:v>Setting·Alarm·History 화면</x:v>
      </x:c>
      <x:c r="H123" s="83" t="str">
        <x:v>E-SETTING-FILE</x:v>
      </x:c>
      <x:c r="I123" s="83" t="str">
        <x:v>Drilling.File/JHMI/CSettingFile.cs</x:v>
      </x:c>
      <x:c r="J123" s="83" t="str">
        <x:v>CSettingFile</x:v>
      </x:c>
      <x:c r="K123" s="83" t="str">
        <x:v>Save</x:v>
      </x:c>
      <x:c r="L123" s="83" t="str">
        <x:v>부분 반영</x:v>
      </x:c>
      <x:c r="M123" s="84" t="n">
        <x:v>0.83</x:v>
      </x:c>
      <x:c r="N123" s="83" t="str">
        <x:v>일부 구현은 확인되나 실장비 연동, Timeout/Alarm/Recovery, 저장·복원 또는 고객 수용시험 증빙이 부족</x:v>
      </x:c>
    </x:row>
    <x:row r="124" ht="42" customHeight="1">
      <x:c r="A124" s="83" t="str">
        <x:v>AM-010</x:v>
      </x:c>
      <x:c r="B124" s="83" t="str">
        <x:v>구동부 상태 모니터링</x:v>
      </x:c>
      <x:c r="C124" s="83" t="n">
        <x:v>17</x:v>
      </x:c>
      <x:c r="D124" s="83" t="str">
        <x:v>UI</x:v>
      </x:c>
      <x:c r="E124" s="83" t="str">
        <x:v>Monitoring - BET 화면 구현</x:v>
      </x:c>
      <x:c r="F124" s="83" t="str">
        <x:v>02-06</x:v>
      </x:c>
      <x:c r="G124" s="83" t="str">
        <x:v>Optics·Power·Correction 화면</x:v>
      </x:c>
      <x:c r="H124" s="83" t="str">
        <x:v>E-UI-MONITOR</x:v>
      </x:c>
      <x:c r="I124" s="83" t="str">
        <x:v>Drilling.UI/Menu/Menus/CMenuMonitor.cs</x:v>
      </x:c>
      <x:c r="J124" s="83" t="str">
        <x:v>CMenuMonitor</x:v>
      </x:c>
      <x:c r="K124" s="83" t="str">
        <x:v>RefreshLiveData</x:v>
      </x:c>
      <x:c r="L124" s="83" t="str">
        <x:v>부분 반영</x:v>
      </x:c>
      <x:c r="M124" s="84" t="n">
        <x:v>0.73</x:v>
      </x:c>
      <x:c r="N124" s="83" t="str">
        <x:v>일부 구현은 확인되나 실장비 연동, Timeout/Alarm/Recovery, 저장·복원 또는 고객 수용시험 증빙이 부족</x:v>
      </x:c>
    </x:row>
    <x:row r="125" ht="42" customHeight="1">
      <x:c r="A125" s="83" t="str">
        <x:v>AM-010</x:v>
      </x:c>
      <x:c r="B125" s="83" t="str">
        <x:v>구동부 상태 모니터링</x:v>
      </x:c>
      <x:c r="C125" s="83" t="n">
        <x:v>17</x:v>
      </x:c>
      <x:c r="D125" s="83" t="str">
        <x:v>UI</x:v>
      </x:c>
      <x:c r="E125" s="83" t="str">
        <x:v>Monitoring - BET 화면 구현</x:v>
      </x:c>
      <x:c r="F125" s="83" t="str">
        <x:v>06-01</x:v>
      </x:c>
      <x:c r="G125" s="83" t="str">
        <x:v>Device Manual 명령</x:v>
      </x:c>
      <x:c r="H125" s="83" t="str">
        <x:v>E-UI-MONITOR</x:v>
      </x:c>
      <x:c r="I125" s="83" t="str">
        <x:v>Drilling.UI/Menu/Menus/CMenuMonitor.cs</x:v>
      </x:c>
      <x:c r="J125" s="83" t="str">
        <x:v>CMenuMonitor</x:v>
      </x:c>
      <x:c r="K125" s="83" t="str">
        <x:v>RefreshLiveData</x:v>
      </x:c>
      <x:c r="L125" s="83" t="str">
        <x:v>부분 반영</x:v>
      </x:c>
      <x:c r="M125" s="84" t="n">
        <x:v>0.73</x:v>
      </x:c>
      <x:c r="N125" s="83" t="str">
        <x:v>일부 구현은 확인되나 실장비 연동, Timeout/Alarm/Recovery, 저장·복원 또는 고객 수용시험 증빙이 부족</x:v>
      </x:c>
    </x:row>
    <x:row r="126" ht="42" customHeight="1">
      <x:c r="A126" s="83" t="str">
        <x:v>AM-010</x:v>
      </x:c>
      <x:c r="B126" s="83" t="str">
        <x:v>구동부 상태 모니터링</x:v>
      </x:c>
      <x:c r="C126" s="83" t="n">
        <x:v>19</x:v>
      </x:c>
      <x:c r="D126" s="83" t="str">
        <x:v>UI</x:v>
      </x:c>
      <x:c r="E126" s="83" t="str">
        <x:v>Monitoring - Motor 및 I/O 화면 구현</x:v>
      </x:c>
      <x:c r="F126" s="83" t="str">
        <x:v>02-06</x:v>
      </x:c>
      <x:c r="G126" s="83" t="str">
        <x:v>Optics·Power·Correction 화면</x:v>
      </x:c>
      <x:c r="H126" s="83" t="str">
        <x:v>E-UI-MONITOR</x:v>
      </x:c>
      <x:c r="I126" s="83" t="str">
        <x:v>Drilling.UI/Menu/Menus/CMenuMonitor.cs</x:v>
      </x:c>
      <x:c r="J126" s="83" t="str">
        <x:v>CMenuMonitor</x:v>
      </x:c>
      <x:c r="K126" s="83" t="str">
        <x:v>RefreshLiveData</x:v>
      </x:c>
      <x:c r="L126" s="83" t="str">
        <x:v>부분 반영</x:v>
      </x:c>
      <x:c r="M126" s="84" t="n">
        <x:v>0.73</x:v>
      </x:c>
      <x:c r="N126" s="83" t="str">
        <x:v>일부 구현은 확인되나 실장비 연동, Timeout/Alarm/Recovery, 저장·복원 또는 고객 수용시험 증빙이 부족</x:v>
      </x:c>
    </x:row>
    <x:row r="127" ht="42" customHeight="1">
      <x:c r="A127" s="83" t="str">
        <x:v>AM-010</x:v>
      </x:c>
      <x:c r="B127" s="83" t="str">
        <x:v>구동부 상태 모니터링</x:v>
      </x:c>
      <x:c r="C127" s="83" t="n">
        <x:v>19</x:v>
      </x:c>
      <x:c r="D127" s="83" t="str">
        <x:v>UI</x:v>
      </x:c>
      <x:c r="E127" s="83" t="str">
        <x:v>Monitoring - Motor 및 I/O 화면 구현</x:v>
      </x:c>
      <x:c r="F127" s="83" t="str">
        <x:v>06-01</x:v>
      </x:c>
      <x:c r="G127" s="83" t="str">
        <x:v>Device Manual 명령</x:v>
      </x:c>
      <x:c r="H127" s="83" t="str">
        <x:v>E-UI-MONITOR</x:v>
      </x:c>
      <x:c r="I127" s="83" t="str">
        <x:v>Drilling.UI/Menu/Menus/CMenuMonitor.cs</x:v>
      </x:c>
      <x:c r="J127" s="83" t="str">
        <x:v>CMenuMonitor</x:v>
      </x:c>
      <x:c r="K127" s="83" t="str">
        <x:v>RefreshLiveData</x:v>
      </x:c>
      <x:c r="L127" s="83" t="str">
        <x:v>부분 반영</x:v>
      </x:c>
      <x:c r="M127" s="84" t="n">
        <x:v>0.73</x:v>
      </x:c>
      <x:c r="N127" s="83" t="str">
        <x:v>일부 구현은 확인되나 실장비 연동, Timeout/Alarm/Recovery, 저장·복원 또는 고객 수용시험 증빙이 부족</x:v>
      </x:c>
    </x:row>
    <x:row r="128" ht="42" customHeight="1">
      <x:c r="A128" s="83" t="str">
        <x:v>AM-010</x:v>
      </x:c>
      <x:c r="B128" s="83" t="str">
        <x:v>구동부 상태 모니터링</x:v>
      </x:c>
      <x:c r="C128" s="83" t="n">
        <x:v>20</x:v>
      </x:c>
      <x:c r="D128" s="83" t="str">
        <x:v>UI</x:v>
      </x:c>
      <x:c r="E128" s="83" t="str">
        <x:v>Monitoring - Attenuator 화면 구현</x:v>
      </x:c>
      <x:c r="F128" s="83" t="str">
        <x:v>02-06</x:v>
      </x:c>
      <x:c r="G128" s="83" t="str">
        <x:v>Optics·Power·Correction 화면</x:v>
      </x:c>
      <x:c r="H128" s="83" t="str">
        <x:v>E-UI-MONITOR</x:v>
      </x:c>
      <x:c r="I128" s="83" t="str">
        <x:v>Drilling.UI/Menu/Menus/CMenuMonitor.cs</x:v>
      </x:c>
      <x:c r="J128" s="83" t="str">
        <x:v>CMenuMonitor</x:v>
      </x:c>
      <x:c r="K128" s="83" t="str">
        <x:v>RefreshLiveData</x:v>
      </x:c>
      <x:c r="L128" s="83" t="str">
        <x:v>부분 반영</x:v>
      </x:c>
      <x:c r="M128" s="84" t="n">
        <x:v>0.73</x:v>
      </x:c>
      <x:c r="N128" s="83" t="str">
        <x:v>일부 구현은 확인되나 실장비 연동, Timeout/Alarm/Recovery, 저장·복원 또는 고객 수용시험 증빙이 부족</x:v>
      </x:c>
    </x:row>
    <x:row r="129" ht="42" customHeight="1">
      <x:c r="A129" s="83" t="str">
        <x:v>AM-010</x:v>
      </x:c>
      <x:c r="B129" s="83" t="str">
        <x:v>구동부 상태 모니터링</x:v>
      </x:c>
      <x:c r="C129" s="83" t="n">
        <x:v>20</x:v>
      </x:c>
      <x:c r="D129" s="83" t="str">
        <x:v>UI</x:v>
      </x:c>
      <x:c r="E129" s="83" t="str">
        <x:v>Monitoring - Attenuator 화면 구현</x:v>
      </x:c>
      <x:c r="F129" s="83" t="str">
        <x:v>06-01</x:v>
      </x:c>
      <x:c r="G129" s="83" t="str">
        <x:v>Device Manual 명령</x:v>
      </x:c>
      <x:c r="H129" s="83" t="str">
        <x:v>E-UI-MONITOR</x:v>
      </x:c>
      <x:c r="I129" s="83" t="str">
        <x:v>Drilling.UI/Menu/Menus/CMenuMonitor.cs</x:v>
      </x:c>
      <x:c r="J129" s="83" t="str">
        <x:v>CMenuMonitor</x:v>
      </x:c>
      <x:c r="K129" s="83" t="str">
        <x:v>RefreshLiveData</x:v>
      </x:c>
      <x:c r="L129" s="83" t="str">
        <x:v>부분 반영</x:v>
      </x:c>
      <x:c r="M129" s="84" t="n">
        <x:v>0.73</x:v>
      </x:c>
      <x:c r="N129" s="83" t="str">
        <x:v>일부 구현은 확인되나 실장비 연동, Timeout/Alarm/Recovery, 저장·복원 또는 고객 수용시험 증빙이 부족</x:v>
      </x:c>
    </x:row>
    <x:row r="130" ht="42" customHeight="1">
      <x:c r="A130" s="83" t="str">
        <x:v>AM-010</x:v>
      </x:c>
      <x:c r="B130" s="83" t="str">
        <x:v>구동부 상태 모니터링</x:v>
      </x:c>
      <x:c r="C130" s="83" t="n">
        <x:v>25</x:v>
      </x:c>
      <x:c r="D130" s="83" t="str">
        <x:v>통신</x:v>
      </x:c>
      <x:c r="E130" s="83" t="str">
        <x:v>XPS Motion Controller 연동 기능 구현</x:v>
      </x:c>
      <x:c r="F130" s="83" t="str">
        <x:v>02-06</x:v>
      </x:c>
      <x:c r="G130" s="83" t="str">
        <x:v>Optics·Power·Correction 화면</x:v>
      </x:c>
      <x:c r="H130" s="83" t="str">
        <x:v>E-XPS</x:v>
      </x:c>
      <x:c r="I130" s="83" t="str">
        <x:v>Drilling.Common/Motion/XPS/CXpsMotion.cs</x:v>
      </x:c>
      <x:c r="J130" s="83" t="str">
        <x:v>CXpsMotion</x:v>
      </x:c>
      <x:c r="K130" s="83" t="str">
        <x:v>MoveAbs</x:v>
      </x:c>
      <x:c r="L130" s="83" t="str">
        <x:v>부분 반영</x:v>
      </x:c>
      <x:c r="M130" s="84" t="n">
        <x:v>0.73</x:v>
      </x:c>
      <x:c r="N130" s="83" t="str">
        <x:v>일부 구현은 확인되나 실장비 연동, Timeout/Alarm/Recovery, 저장·복원 또는 고객 수용시험 증빙이 부족</x:v>
      </x:c>
    </x:row>
    <x:row r="131" ht="42" customHeight="1">
      <x:c r="A131" s="83" t="str">
        <x:v>AM-010</x:v>
      </x:c>
      <x:c r="B131" s="83" t="str">
        <x:v>구동부 상태 모니터링</x:v>
      </x:c>
      <x:c r="C131" s="83" t="n">
        <x:v>25</x:v>
      </x:c>
      <x:c r="D131" s="83" t="str">
        <x:v>통신</x:v>
      </x:c>
      <x:c r="E131" s="83" t="str">
        <x:v>XPS Motion Controller 연동 기능 구현</x:v>
      </x:c>
      <x:c r="F131" s="83" t="str">
        <x:v>06-01</x:v>
      </x:c>
      <x:c r="G131" s="83" t="str">
        <x:v>Device Manual 명령</x:v>
      </x:c>
      <x:c r="H131" s="83" t="str">
        <x:v>E-XPS</x:v>
      </x:c>
      <x:c r="I131" s="83" t="str">
        <x:v>Drilling.Common/Motion/XPS/CXpsMotion.cs</x:v>
      </x:c>
      <x:c r="J131" s="83" t="str">
        <x:v>CXpsMotion</x:v>
      </x:c>
      <x:c r="K131" s="83" t="str">
        <x:v>MoveAbs</x:v>
      </x:c>
      <x:c r="L131" s="83" t="str">
        <x:v>부분 반영</x:v>
      </x:c>
      <x:c r="M131" s="84" t="n">
        <x:v>0.73</x:v>
      </x:c>
      <x:c r="N131" s="83" t="str">
        <x:v>일부 구현은 확인되나 실장비 연동, Timeout/Alarm/Recovery, 저장·복원 또는 고객 수용시험 증빙이 부족</x:v>
      </x:c>
    </x:row>
    <x:row r="132" ht="42" customHeight="1">
      <x:c r="A132" s="83" t="str">
        <x:v>AM-010</x:v>
      </x:c>
      <x:c r="B132" s="83" t="str">
        <x:v>구동부 상태 모니터링</x:v>
      </x:c>
      <x:c r="C132" s="83" t="n">
        <x:v>29</x:v>
      </x:c>
      <x:c r="D132" s="83" t="str">
        <x:v>통신</x:v>
      </x:c>
      <x:c r="E132" s="83" t="str">
        <x:v>BET 연동 기능 구현</x:v>
      </x:c>
      <x:c r="F132" s="83" t="str">
        <x:v>02-06</x:v>
      </x:c>
      <x:c r="G132" s="83" t="str">
        <x:v>Optics·Power·Correction 화면</x:v>
      </x:c>
      <x:c r="H132" s="83" t="str">
        <x:v>E-BET</x:v>
      </x:c>
      <x:c r="I132" s="83" t="str">
        <x:v>Drilling.Common/Interface/Serial/CBeamExpander.cs</x:v>
      </x:c>
      <x:c r="J132" s="83" t="str">
        <x:v>CBeamExpander</x:v>
      </x:c>
      <x:c r="K132" s="83" t="str">
        <x:v>Execute</x:v>
      </x:c>
      <x:c r="L132" s="83" t="str">
        <x:v>부분 반영</x:v>
      </x:c>
      <x:c r="M132" s="84" t="n">
        <x:v>0.73</x:v>
      </x:c>
      <x:c r="N132" s="83" t="str">
        <x:v>일부 구현은 확인되나 실장비 연동, Timeout/Alarm/Recovery, 저장·복원 또는 고객 수용시험 증빙이 부족</x:v>
      </x:c>
    </x:row>
    <x:row r="133" ht="42" customHeight="1">
      <x:c r="A133" s="83" t="str">
        <x:v>AM-010</x:v>
      </x:c>
      <x:c r="B133" s="83" t="str">
        <x:v>구동부 상태 모니터링</x:v>
      </x:c>
      <x:c r="C133" s="83" t="n">
        <x:v>29</x:v>
      </x:c>
      <x:c r="D133" s="83" t="str">
        <x:v>통신</x:v>
      </x:c>
      <x:c r="E133" s="83" t="str">
        <x:v>BET 연동 기능 구현</x:v>
      </x:c>
      <x:c r="F133" s="83" t="str">
        <x:v>06-01</x:v>
      </x:c>
      <x:c r="G133" s="83" t="str">
        <x:v>Device Manual 명령</x:v>
      </x:c>
      <x:c r="H133" s="83" t="str">
        <x:v>E-BET</x:v>
      </x:c>
      <x:c r="I133" s="83" t="str">
        <x:v>Drilling.Common/Interface/Serial/CBeamExpander.cs</x:v>
      </x:c>
      <x:c r="J133" s="83" t="str">
        <x:v>CBeamExpander</x:v>
      </x:c>
      <x:c r="K133" s="83" t="str">
        <x:v>Execute</x:v>
      </x:c>
      <x:c r="L133" s="83" t="str">
        <x:v>부분 반영</x:v>
      </x:c>
      <x:c r="M133" s="84" t="n">
        <x:v>0.73</x:v>
      </x:c>
      <x:c r="N133" s="83" t="str">
        <x:v>일부 구현은 확인되나 실장비 연동, Timeout/Alarm/Recovery, 저장·복원 또는 고객 수용시험 증빙이 부족</x:v>
      </x:c>
    </x:row>
    <x:row r="134" ht="42" customHeight="1">
      <x:c r="A134" s="83" t="str">
        <x:v>AM-010</x:v>
      </x:c>
      <x:c r="B134" s="83" t="str">
        <x:v>구동부 상태 모니터링</x:v>
      </x:c>
      <x:c r="C134" s="83" t="n">
        <x:v>30</x:v>
      </x:c>
      <x:c r="D134" s="83" t="str">
        <x:v>통신</x:v>
      </x:c>
      <x:c r="E134" s="83" t="str">
        <x:v>CONDEX-APG(Attenuator) 연동 기능 구현</x:v>
      </x:c>
      <x:c r="F134" s="83" t="str">
        <x:v>02-06</x:v>
      </x:c>
      <x:c r="G134" s="83" t="str">
        <x:v>Optics·Power·Correction 화면</x:v>
      </x:c>
      <x:c r="H134" s="83" t="str">
        <x:v>E-ATT</x:v>
      </x:c>
      <x:c r="I134" s="83" t="str">
        <x:v>Drilling.Common/Interface/Serial/CConex_AGP.cs</x:v>
      </x:c>
      <x:c r="J134" s="83" t="str">
        <x:v>CConex_AGP</x:v>
      </x:c>
      <x:c r="K134" s="83" t="str">
        <x:v>Execute</x:v>
      </x:c>
      <x:c r="L134" s="83" t="str">
        <x:v>부분 반영</x:v>
      </x:c>
      <x:c r="M134" s="84" t="n">
        <x:v>0.73</x:v>
      </x:c>
      <x:c r="N134" s="83" t="str">
        <x:v>일부 구현은 확인되나 실장비 연동, Timeout/Alarm/Recovery, 저장·복원 또는 고객 수용시험 증빙이 부족</x:v>
      </x:c>
    </x:row>
    <x:row r="135" ht="42" customHeight="1">
      <x:c r="A135" s="83" t="str">
        <x:v>AM-010</x:v>
      </x:c>
      <x:c r="B135" s="83" t="str">
        <x:v>구동부 상태 모니터링</x:v>
      </x:c>
      <x:c r="C135" s="83" t="n">
        <x:v>30</x:v>
      </x:c>
      <x:c r="D135" s="83" t="str">
        <x:v>통신</x:v>
      </x:c>
      <x:c r="E135" s="83" t="str">
        <x:v>CONDEX-APG(Attenuator) 연동 기능 구현</x:v>
      </x:c>
      <x:c r="F135" s="83" t="str">
        <x:v>06-01</x:v>
      </x:c>
      <x:c r="G135" s="83" t="str">
        <x:v>Device Manual 명령</x:v>
      </x:c>
      <x:c r="H135" s="83" t="str">
        <x:v>E-ATT</x:v>
      </x:c>
      <x:c r="I135" s="83" t="str">
        <x:v>Drilling.Common/Interface/Serial/CConex_AGP.cs</x:v>
      </x:c>
      <x:c r="J135" s="83" t="str">
        <x:v>CConex_AGP</x:v>
      </x:c>
      <x:c r="K135" s="83" t="str">
        <x:v>Execute</x:v>
      </x:c>
      <x:c r="L135" s="83" t="str">
        <x:v>부분 반영</x:v>
      </x:c>
      <x:c r="M135" s="84" t="n">
        <x:v>0.73</x:v>
      </x:c>
      <x:c r="N135" s="83" t="str">
        <x:v>일부 구현은 확인되나 실장비 연동, Timeout/Alarm/Recovery, 저장·복원 또는 고객 수용시험 증빙이 부족</x:v>
      </x:c>
    </x:row>
    <x:row r="136" ht="42" customHeight="1">
      <x:c r="A136" s="83" t="str">
        <x:v>AM-010</x:v>
      </x:c>
      <x:c r="B136" s="83" t="str">
        <x:v>구동부 상태 모니터링</x:v>
      </x:c>
      <x:c r="C136" s="83" t="n">
        <x:v>102</x:v>
      </x:c>
      <x:c r="D136" s="83" t="str">
        <x:v>기능</x:v>
      </x:c>
      <x:c r="E136" s="83" t="str">
        <x:v>Monitoring - ATT 단위 동작 구현</x:v>
      </x:c>
      <x:c r="F136" s="83" t="str">
        <x:v>02-06</x:v>
      </x:c>
      <x:c r="G136" s="83" t="str">
        <x:v>Optics·Power·Correction 화면</x:v>
      </x:c>
      <x:c r="H136" s="83" t="str">
        <x:v>E-ATT</x:v>
      </x:c>
      <x:c r="I136" s="83" t="str">
        <x:v>Drilling.Common/Interface/Serial/CConex_AGP.cs</x:v>
      </x:c>
      <x:c r="J136" s="83" t="str">
        <x:v>CConex_AGP</x:v>
      </x:c>
      <x:c r="K136" s="83" t="str">
        <x:v>Execute</x:v>
      </x:c>
      <x:c r="L136" s="83" t="str">
        <x:v>부분 반영</x:v>
      </x:c>
      <x:c r="M136" s="84" t="n">
        <x:v>0.73</x:v>
      </x:c>
      <x:c r="N136" s="83" t="str">
        <x:v>일부 구현은 확인되나 실장비 연동, Timeout/Alarm/Recovery, 저장·복원 또는 고객 수용시험 증빙이 부족</x:v>
      </x:c>
    </x:row>
    <x:row r="137" ht="42" customHeight="1">
      <x:c r="A137" s="83" t="str">
        <x:v>AM-010</x:v>
      </x:c>
      <x:c r="B137" s="83" t="str">
        <x:v>구동부 상태 모니터링</x:v>
      </x:c>
      <x:c r="C137" s="83" t="n">
        <x:v>102</x:v>
      </x:c>
      <x:c r="D137" s="83" t="str">
        <x:v>기능</x:v>
      </x:c>
      <x:c r="E137" s="83" t="str">
        <x:v>Monitoring - ATT 단위 동작 구현</x:v>
      </x:c>
      <x:c r="F137" s="83" t="str">
        <x:v>06-01</x:v>
      </x:c>
      <x:c r="G137" s="83" t="str">
        <x:v>Device Manual 명령</x:v>
      </x:c>
      <x:c r="H137" s="83" t="str">
        <x:v>E-ATT</x:v>
      </x:c>
      <x:c r="I137" s="83" t="str">
        <x:v>Drilling.Common/Interface/Serial/CConex_AGP.cs</x:v>
      </x:c>
      <x:c r="J137" s="83" t="str">
        <x:v>CConex_AGP</x:v>
      </x:c>
      <x:c r="K137" s="83" t="str">
        <x:v>Execute</x:v>
      </x:c>
      <x:c r="L137" s="83" t="str">
        <x:v>부분 반영</x:v>
      </x:c>
      <x:c r="M137" s="84" t="n">
        <x:v>0.73</x:v>
      </x:c>
      <x:c r="N137" s="83" t="str">
        <x:v>일부 구현은 확인되나 실장비 연동, Timeout/Alarm/Recovery, 저장·복원 또는 고객 수용시험 증빙이 부족</x:v>
      </x:c>
    </x:row>
    <x:row r="138" ht="42" customHeight="1">
      <x:c r="A138" s="83" t="str">
        <x:v>AM-010</x:v>
      </x:c>
      <x:c r="B138" s="83" t="str">
        <x:v>구동부 상태 모니터링</x:v>
      </x:c>
      <x:c r="C138" s="83" t="n">
        <x:v>103</x:v>
      </x:c>
      <x:c r="D138" s="83" t="str">
        <x:v>기능</x:v>
      </x:c>
      <x:c r="E138" s="83" t="str">
        <x:v>Monitoring - BET 단위 동작 구현</x:v>
      </x:c>
      <x:c r="F138" s="83" t="str">
        <x:v>02-06</x:v>
      </x:c>
      <x:c r="G138" s="83" t="str">
        <x:v>Optics·Power·Correction 화면</x:v>
      </x:c>
      <x:c r="H138" s="83" t="str">
        <x:v>E-BET</x:v>
      </x:c>
      <x:c r="I138" s="83" t="str">
        <x:v>Drilling.Common/Interface/Serial/CBeamExpander.cs</x:v>
      </x:c>
      <x:c r="J138" s="83" t="str">
        <x:v>CBeamExpander</x:v>
      </x:c>
      <x:c r="K138" s="83" t="str">
        <x:v>Execute</x:v>
      </x:c>
      <x:c r="L138" s="83" t="str">
        <x:v>부분 반영</x:v>
      </x:c>
      <x:c r="M138" s="84" t="n">
        <x:v>0.73</x:v>
      </x:c>
      <x:c r="N138" s="83" t="str">
        <x:v>일부 구현은 확인되나 실장비 연동, Timeout/Alarm/Recovery, 저장·복원 또는 고객 수용시험 증빙이 부족</x:v>
      </x:c>
    </x:row>
    <x:row r="139" ht="42" customHeight="1">
      <x:c r="A139" s="83" t="str">
        <x:v>AM-010</x:v>
      </x:c>
      <x:c r="B139" s="83" t="str">
        <x:v>구동부 상태 모니터링</x:v>
      </x:c>
      <x:c r="C139" s="83" t="n">
        <x:v>103</x:v>
      </x:c>
      <x:c r="D139" s="83" t="str">
        <x:v>기능</x:v>
      </x:c>
      <x:c r="E139" s="83" t="str">
        <x:v>Monitoring - BET 단위 동작 구현</x:v>
      </x:c>
      <x:c r="F139" s="83" t="str">
        <x:v>06-01</x:v>
      </x:c>
      <x:c r="G139" s="83" t="str">
        <x:v>Device Manual 명령</x:v>
      </x:c>
      <x:c r="H139" s="83" t="str">
        <x:v>E-BET</x:v>
      </x:c>
      <x:c r="I139" s="83" t="str">
        <x:v>Drilling.Common/Interface/Serial/CBeamExpander.cs</x:v>
      </x:c>
      <x:c r="J139" s="83" t="str">
        <x:v>CBeamExpander</x:v>
      </x:c>
      <x:c r="K139" s="83" t="str">
        <x:v>Execute</x:v>
      </x:c>
      <x:c r="L139" s="83" t="str">
        <x:v>부분 반영</x:v>
      </x:c>
      <x:c r="M139" s="84" t="n">
        <x:v>0.73</x:v>
      </x:c>
      <x:c r="N139" s="83" t="str">
        <x:v>일부 구현은 확인되나 실장비 연동, Timeout/Alarm/Recovery, 저장·복원 또는 고객 수용시험 증빙이 부족</x:v>
      </x:c>
    </x:row>
    <x:row r="140" ht="42" customHeight="1">
      <x:c r="A140" s="83" t="str">
        <x:v>AM-011</x:v>
      </x:c>
      <x:c r="B140" s="83" t="str">
        <x:v>자동 가공 실행</x:v>
      </x:c>
      <x:c r="C140" s="83" t="n">
        <x:v>47</x:v>
      </x:c>
      <x:c r="D140" s="83" t="str">
        <x:v>Sequence</x:v>
      </x:c>
      <x:c r="E140" s="83" t="str">
        <x:v>PreCheck Step 구현</x:v>
      </x:c>
      <x:c r="F140" s="83" t="str">
        <x:v>05-02</x:v>
      </x:c>
      <x:c r="G140" s="83" t="str">
        <x:v>Auto·Step 전체 Sequence</x:v>
      </x:c>
      <x:c r="H140" s="83" t="str">
        <x:v>E-SEQUENCE</x:v>
      </x:c>
      <x:c r="I140" s="83" t="str">
        <x:v>Drilling.Common/Station/CStationProcess.cs</x:v>
      </x:c>
      <x:c r="J140" s="83" t="str">
        <x:v>CStationProcess</x:v>
      </x:c>
      <x:c r="K140" s="83" t="str">
        <x:v>RunPreCheck</x:v>
      </x:c>
      <x:c r="L140" s="83" t="str">
        <x:v>부분 반영</x:v>
      </x:c>
      <x:c r="M140" s="84" t="n">
        <x:v>0.78</x:v>
      </x:c>
      <x:c r="N140" s="83" t="str">
        <x:v>일부 구현은 확인되나 실장비 연동, Timeout/Alarm/Recovery, 저장·복원 또는 고객 수용시험 증빙이 부족</x:v>
      </x:c>
    </x:row>
    <x:row r="141" ht="42" customHeight="1">
      <x:c r="A141" s="83" t="str">
        <x:v>AM-011</x:v>
      </x:c>
      <x:c r="B141" s="83" t="str">
        <x:v>자동 가공 실행</x:v>
      </x:c>
      <x:c r="C141" s="83" t="n">
        <x:v>47</x:v>
      </x:c>
      <x:c r="D141" s="83" t="str">
        <x:v>Sequence</x:v>
      </x:c>
      <x:c r="E141" s="83" t="str">
        <x:v>PreCheck Step 구현</x:v>
      </x:c>
      <x:c r="F141" s="83" t="str">
        <x:v>08-06</x:v>
      </x:c>
      <x:c r="G141" s="83" t="str">
        <x:v>Stage Y OTF/MOF·Encoder/AUX</x:v>
      </x:c>
      <x:c r="H141" s="83" t="str">
        <x:v>E-SEQUENCE</x:v>
      </x:c>
      <x:c r="I141" s="83" t="str">
        <x:v>Drilling.Common/Station/CStationProcess.cs</x:v>
      </x:c>
      <x:c r="J141" s="83" t="str">
        <x:v>CStationProcess</x:v>
      </x:c>
      <x:c r="K141" s="83" t="str">
        <x:v>RunPreCheck</x:v>
      </x:c>
      <x:c r="L141" s="83" t="str">
        <x:v>부분 반영</x:v>
      </x:c>
      <x:c r="M141" s="84" t="n">
        <x:v>0.78</x:v>
      </x:c>
      <x:c r="N141" s="83" t="str">
        <x:v>일부 구현은 확인되나 실장비 연동, Timeout/Alarm/Recovery, 저장·복원 또는 고객 수용시험 증빙이 부족</x:v>
      </x:c>
    </x:row>
    <x:row r="142" ht="42" customHeight="1">
      <x:c r="A142" s="83" t="str">
        <x:v>AM-011</x:v>
      </x:c>
      <x:c r="B142" s="83" t="str">
        <x:v>자동 가공 실행</x:v>
      </x:c>
      <x:c r="C142" s="83" t="n">
        <x:v>48</x:v>
      </x:c>
      <x:c r="D142" s="83" t="str">
        <x:v>Sequence</x:v>
      </x:c>
      <x:c r="E142" s="83" t="str">
        <x:v>Recipe/Product Check Step - Recipe Parameter 확인 구현</x:v>
      </x:c>
      <x:c r="F142" s="83" t="str">
        <x:v>05-02</x:v>
      </x:c>
      <x:c r="G142" s="83" t="str">
        <x:v>Auto·Step 전체 Sequence</x:v>
      </x:c>
      <x:c r="H142" s="83" t="str">
        <x:v>E-SEQUENCE</x:v>
      </x:c>
      <x:c r="I142" s="83" t="str">
        <x:v>Drilling.Common/Station/CStationProcess.cs</x:v>
      </x:c>
      <x:c r="J142" s="83" t="str">
        <x:v>CStationProcess</x:v>
      </x:c>
      <x:c r="K142" s="83" t="str">
        <x:v>RunPreCheck</x:v>
      </x:c>
      <x:c r="L142" s="83" t="str">
        <x:v>부분 반영</x:v>
      </x:c>
      <x:c r="M142" s="84" t="n">
        <x:v>0.78</x:v>
      </x:c>
      <x:c r="N142" s="83" t="str">
        <x:v>일부 구현은 확인되나 실장비 연동, Timeout/Alarm/Recovery, 저장·복원 또는 고객 수용시험 증빙이 부족</x:v>
      </x:c>
    </x:row>
    <x:row r="143" ht="42" customHeight="1">
      <x:c r="A143" s="83" t="str">
        <x:v>AM-011</x:v>
      </x:c>
      <x:c r="B143" s="83" t="str">
        <x:v>자동 가공 실행</x:v>
      </x:c>
      <x:c r="C143" s="83" t="n">
        <x:v>48</x:v>
      </x:c>
      <x:c r="D143" s="83" t="str">
        <x:v>Sequence</x:v>
      </x:c>
      <x:c r="E143" s="83" t="str">
        <x:v>Recipe/Product Check Step - Recipe Parameter 확인 구현</x:v>
      </x:c>
      <x:c r="F143" s="83" t="str">
        <x:v>08-06</x:v>
      </x:c>
      <x:c r="G143" s="83" t="str">
        <x:v>Stage Y OTF/MOF·Encoder/AUX</x:v>
      </x:c>
      <x:c r="H143" s="83" t="str">
        <x:v>E-SEQUENCE</x:v>
      </x:c>
      <x:c r="I143" s="83" t="str">
        <x:v>Drilling.Common/Station/CStationProcess.cs</x:v>
      </x:c>
      <x:c r="J143" s="83" t="str">
        <x:v>CStationProcess</x:v>
      </x:c>
      <x:c r="K143" s="83" t="str">
        <x:v>RunPreCheck</x:v>
      </x:c>
      <x:c r="L143" s="83" t="str">
        <x:v>부분 반영</x:v>
      </x:c>
      <x:c r="M143" s="84" t="n">
        <x:v>0.78</x:v>
      </x:c>
      <x:c r="N143" s="83" t="str">
        <x:v>일부 구현은 확인되나 실장비 연동, Timeout/Alarm/Recovery, 저장·복원 또는 고객 수용시험 증빙이 부족</x:v>
      </x:c>
    </x:row>
    <x:row r="144" ht="42" customHeight="1">
      <x:c r="A144" s="83" t="str">
        <x:v>AM-011</x:v>
      </x:c>
      <x:c r="B144" s="83" t="str">
        <x:v>자동 가공 실행</x:v>
      </x:c>
      <x:c r="C144" s="83" t="n">
        <x:v>49</x:v>
      </x:c>
      <x:c r="D144" s="83" t="str">
        <x:v>Sequence</x:v>
      </x:c>
      <x:c r="E144" s="83" t="str">
        <x:v>Recipe/Product Check Step - Product Data 정합성 확인 구현</x:v>
      </x:c>
      <x:c r="F144" s="83" t="str">
        <x:v>05-02</x:v>
      </x:c>
      <x:c r="G144" s="83" t="str">
        <x:v>Auto·Step 전체 Sequence</x:v>
      </x:c>
      <x:c r="H144" s="83" t="str">
        <x:v>E-SEQUENCE</x:v>
      </x:c>
      <x:c r="I144" s="83" t="str">
        <x:v>Drilling.Common/Station/CStationProcess.cs</x:v>
      </x:c>
      <x:c r="J144" s="83" t="str">
        <x:v>CStationProcess</x:v>
      </x:c>
      <x:c r="K144" s="83" t="str">
        <x:v>RunPreCheck</x:v>
      </x:c>
      <x:c r="L144" s="83" t="str">
        <x:v>부분 반영</x:v>
      </x:c>
      <x:c r="M144" s="84" t="n">
        <x:v>0.78</x:v>
      </x:c>
      <x:c r="N144" s="83" t="str">
        <x:v>일부 구현은 확인되나 실장비 연동, Timeout/Alarm/Recovery, 저장·복원 또는 고객 수용시험 증빙이 부족</x:v>
      </x:c>
    </x:row>
    <x:row r="145" ht="42" customHeight="1">
      <x:c r="A145" s="83" t="str">
        <x:v>AM-011</x:v>
      </x:c>
      <x:c r="B145" s="83" t="str">
        <x:v>자동 가공 실행</x:v>
      </x:c>
      <x:c r="C145" s="83" t="n">
        <x:v>49</x:v>
      </x:c>
      <x:c r="D145" s="83" t="str">
        <x:v>Sequence</x:v>
      </x:c>
      <x:c r="E145" s="83" t="str">
        <x:v>Recipe/Product Check Step - Product Data 정합성 확인 구현</x:v>
      </x:c>
      <x:c r="F145" s="83" t="str">
        <x:v>08-06</x:v>
      </x:c>
      <x:c r="G145" s="83" t="str">
        <x:v>Stage Y OTF/MOF·Encoder/AUX</x:v>
      </x:c>
      <x:c r="H145" s="83" t="str">
        <x:v>E-SEQUENCE</x:v>
      </x:c>
      <x:c r="I145" s="83" t="str">
        <x:v>Drilling.Common/Station/CStationProcess.cs</x:v>
      </x:c>
      <x:c r="J145" s="83" t="str">
        <x:v>CStationProcess</x:v>
      </x:c>
      <x:c r="K145" s="83" t="str">
        <x:v>RunPreCheck</x:v>
      </x:c>
      <x:c r="L145" s="83" t="str">
        <x:v>부분 반영</x:v>
      </x:c>
      <x:c r="M145" s="84" t="n">
        <x:v>0.78</x:v>
      </x:c>
      <x:c r="N145" s="83" t="str">
        <x:v>일부 구현은 확인되나 실장비 연동, Timeout/Alarm/Recovery, 저장·복원 또는 고객 수용시험 증빙이 부족</x:v>
      </x:c>
    </x:row>
    <x:row r="146" ht="42" customHeight="1">
      <x:c r="A146" s="83" t="str">
        <x:v>AM-011</x:v>
      </x:c>
      <x:c r="B146" s="83" t="str">
        <x:v>자동 가공 실행</x:v>
      </x:c>
      <x:c r="C146" s="83" t="n">
        <x:v>50</x:v>
      </x:c>
      <x:c r="D146" s="83" t="str">
        <x:v>Sequence</x:v>
      </x:c>
      <x:c r="E146" s="83" t="str">
        <x:v>Align Step 구현</x:v>
      </x:c>
      <x:c r="F146" s="83" t="str">
        <x:v>05-02</x:v>
      </x:c>
      <x:c r="G146" s="83" t="str">
        <x:v>Auto·Step 전체 Sequence</x:v>
      </x:c>
      <x:c r="H146" s="83" t="str">
        <x:v>E-SEQUENCE</x:v>
      </x:c>
      <x:c r="I146" s="83" t="str">
        <x:v>Drilling.Common/Station/CStationProcess.cs</x:v>
      </x:c>
      <x:c r="J146" s="83" t="str">
        <x:v>CStationProcess</x:v>
      </x:c>
      <x:c r="K146" s="83" t="str">
        <x:v>RunPreCheck</x:v>
      </x:c>
      <x:c r="L146" s="83" t="str">
        <x:v>부분 반영</x:v>
      </x:c>
      <x:c r="M146" s="84" t="n">
        <x:v>0.78</x:v>
      </x:c>
      <x:c r="N146" s="83" t="str">
        <x:v>일부 구현은 확인되나 실장비 연동, Timeout/Alarm/Recovery, 저장·복원 또는 고객 수용시험 증빙이 부족</x:v>
      </x:c>
    </x:row>
    <x:row r="147" ht="42" customHeight="1">
      <x:c r="A147" s="83" t="str">
        <x:v>AM-011</x:v>
      </x:c>
      <x:c r="B147" s="83" t="str">
        <x:v>자동 가공 실행</x:v>
      </x:c>
      <x:c r="C147" s="83" t="n">
        <x:v>50</x:v>
      </x:c>
      <x:c r="D147" s="83" t="str">
        <x:v>Sequence</x:v>
      </x:c>
      <x:c r="E147" s="83" t="str">
        <x:v>Align Step 구현</x:v>
      </x:c>
      <x:c r="F147" s="83" t="str">
        <x:v>08-06</x:v>
      </x:c>
      <x:c r="G147" s="83" t="str">
        <x:v>Stage Y OTF/MOF·Encoder/AUX</x:v>
      </x:c>
      <x:c r="H147" s="83" t="str">
        <x:v>E-SEQUENCE</x:v>
      </x:c>
      <x:c r="I147" s="83" t="str">
        <x:v>Drilling.Common/Station/CStationProcess.cs</x:v>
      </x:c>
      <x:c r="J147" s="83" t="str">
        <x:v>CStationProcess</x:v>
      </x:c>
      <x:c r="K147" s="83" t="str">
        <x:v>RunPreCheck</x:v>
      </x:c>
      <x:c r="L147" s="83" t="str">
        <x:v>부분 반영</x:v>
      </x:c>
      <x:c r="M147" s="84" t="n">
        <x:v>0.78</x:v>
      </x:c>
      <x:c r="N147" s="83" t="str">
        <x:v>일부 구현은 확인되나 실장비 연동, Timeout/Alarm/Recovery, 저장·복원 또는 고객 수용시험 증빙이 부족</x:v>
      </x:c>
    </x:row>
    <x:row r="148" ht="42" customHeight="1">
      <x:c r="A148" s="83" t="str">
        <x:v>AM-011</x:v>
      </x:c>
      <x:c r="B148" s="83" t="str">
        <x:v>자동 가공 실행</x:v>
      </x:c>
      <x:c r="C148" s="83" t="n">
        <x:v>51</x:v>
      </x:c>
      <x:c r="D148" s="83" t="str">
        <x:v>Sequence</x:v>
      </x:c>
      <x:c r="E148" s="83" t="str">
        <x:v>Stage Step 구현</x:v>
      </x:c>
      <x:c r="F148" s="83" t="str">
        <x:v>05-02</x:v>
      </x:c>
      <x:c r="G148" s="83" t="str">
        <x:v>Auto·Step 전체 Sequence</x:v>
      </x:c>
      <x:c r="H148" s="83" t="str">
        <x:v>E-SEQUENCE</x:v>
      </x:c>
      <x:c r="I148" s="83" t="str">
        <x:v>Drilling.Common/Station/CStationProcess.cs</x:v>
      </x:c>
      <x:c r="J148" s="83" t="str">
        <x:v>CStationProcess</x:v>
      </x:c>
      <x:c r="K148" s="83" t="str">
        <x:v>RunPreCheck</x:v>
      </x:c>
      <x:c r="L148" s="83" t="str">
        <x:v>부분 반영</x:v>
      </x:c>
      <x:c r="M148" s="84" t="n">
        <x:v>0.78</x:v>
      </x:c>
      <x:c r="N148" s="83" t="str">
        <x:v>일부 구현은 확인되나 실장비 연동, Timeout/Alarm/Recovery, 저장·복원 또는 고객 수용시험 증빙이 부족</x:v>
      </x:c>
    </x:row>
    <x:row r="149" ht="42" customHeight="1">
      <x:c r="A149" s="83" t="str">
        <x:v>AM-011</x:v>
      </x:c>
      <x:c r="B149" s="83" t="str">
        <x:v>자동 가공 실행</x:v>
      </x:c>
      <x:c r="C149" s="83" t="n">
        <x:v>51</x:v>
      </x:c>
      <x:c r="D149" s="83" t="str">
        <x:v>Sequence</x:v>
      </x:c>
      <x:c r="E149" s="83" t="str">
        <x:v>Stage Step 구현</x:v>
      </x:c>
      <x:c r="F149" s="83" t="str">
        <x:v>08-06</x:v>
      </x:c>
      <x:c r="G149" s="83" t="str">
        <x:v>Stage Y OTF/MOF·Encoder/AUX</x:v>
      </x:c>
      <x:c r="H149" s="83" t="str">
        <x:v>E-SEQUENCE</x:v>
      </x:c>
      <x:c r="I149" s="83" t="str">
        <x:v>Drilling.Common/Station/CStationProcess.cs</x:v>
      </x:c>
      <x:c r="J149" s="83" t="str">
        <x:v>CStationProcess</x:v>
      </x:c>
      <x:c r="K149" s="83" t="str">
        <x:v>RunPreCheck</x:v>
      </x:c>
      <x:c r="L149" s="83" t="str">
        <x:v>부분 반영</x:v>
      </x:c>
      <x:c r="M149" s="84" t="n">
        <x:v>0.78</x:v>
      </x:c>
      <x:c r="N149" s="83" t="str">
        <x:v>일부 구현은 확인되나 실장비 연동, Timeout/Alarm/Recovery, 저장·복원 또는 고객 수용시험 증빙이 부족</x:v>
      </x:c>
    </x:row>
    <x:row r="150" ht="42" customHeight="1">
      <x:c r="A150" s="83" t="str">
        <x:v>AM-011</x:v>
      </x:c>
      <x:c r="B150" s="83" t="str">
        <x:v>자동 가공 실행</x:v>
      </x:c>
      <x:c r="C150" s="83" t="n">
        <x:v>52</x:v>
      </x:c>
      <x:c r="D150" s="83" t="str">
        <x:v>Sequence</x:v>
      </x:c>
      <x:c r="E150" s="83" t="str">
        <x:v>Optic Step 구현</x:v>
      </x:c>
      <x:c r="F150" s="83" t="str">
        <x:v>05-02</x:v>
      </x:c>
      <x:c r="G150" s="83" t="str">
        <x:v>Auto·Step 전체 Sequence</x:v>
      </x:c>
      <x:c r="H150" s="83" t="str">
        <x:v>E-SEQUENCE</x:v>
      </x:c>
      <x:c r="I150" s="83" t="str">
        <x:v>Drilling.Common/Station/CStationProcess.cs</x:v>
      </x:c>
      <x:c r="J150" s="83" t="str">
        <x:v>CStationProcess</x:v>
      </x:c>
      <x:c r="K150" s="83" t="str">
        <x:v>RunPreCheck</x:v>
      </x:c>
      <x:c r="L150" s="83" t="str">
        <x:v>부분 반영</x:v>
      </x:c>
      <x:c r="M150" s="84" t="n">
        <x:v>0.78</x:v>
      </x:c>
      <x:c r="N150" s="83" t="str">
        <x:v>일부 구현은 확인되나 실장비 연동, Timeout/Alarm/Recovery, 저장·복원 또는 고객 수용시험 증빙이 부족</x:v>
      </x:c>
    </x:row>
    <x:row r="151" ht="42" customHeight="1">
      <x:c r="A151" s="83" t="str">
        <x:v>AM-011</x:v>
      </x:c>
      <x:c r="B151" s="83" t="str">
        <x:v>자동 가공 실행</x:v>
      </x:c>
      <x:c r="C151" s="83" t="n">
        <x:v>52</x:v>
      </x:c>
      <x:c r="D151" s="83" t="str">
        <x:v>Sequence</x:v>
      </x:c>
      <x:c r="E151" s="83" t="str">
        <x:v>Optic Step 구현</x:v>
      </x:c>
      <x:c r="F151" s="83" t="str">
        <x:v>08-06</x:v>
      </x:c>
      <x:c r="G151" s="83" t="str">
        <x:v>Stage Y OTF/MOF·Encoder/AUX</x:v>
      </x:c>
      <x:c r="H151" s="83" t="str">
        <x:v>E-SEQUENCE</x:v>
      </x:c>
      <x:c r="I151" s="83" t="str">
        <x:v>Drilling.Common/Station/CStationProcess.cs</x:v>
      </x:c>
      <x:c r="J151" s="83" t="str">
        <x:v>CStationProcess</x:v>
      </x:c>
      <x:c r="K151" s="83" t="str">
        <x:v>RunPreCheck</x:v>
      </x:c>
      <x:c r="L151" s="83" t="str">
        <x:v>부분 반영</x:v>
      </x:c>
      <x:c r="M151" s="84" t="n">
        <x:v>0.78</x:v>
      </x:c>
      <x:c r="N151" s="83" t="str">
        <x:v>일부 구현은 확인되나 실장비 연동, Timeout/Alarm/Recovery, 저장·복원 또는 고객 수용시험 증빙이 부족</x:v>
      </x:c>
    </x:row>
    <x:row r="152" ht="42" customHeight="1">
      <x:c r="A152" s="83" t="str">
        <x:v>AM-011</x:v>
      </x:c>
      <x:c r="B152" s="83" t="str">
        <x:v>자동 가공 실행</x:v>
      </x:c>
      <x:c r="C152" s="83" t="n">
        <x:v>53</x:v>
      </x:c>
      <x:c r="D152" s="83" t="str">
        <x:v>Sequence</x:v>
      </x:c>
      <x:c r="E152" s="83" t="str">
        <x:v>Script Build Step 구현</x:v>
      </x:c>
      <x:c r="F152" s="83" t="str">
        <x:v>05-02</x:v>
      </x:c>
      <x:c r="G152" s="83" t="str">
        <x:v>Auto·Step 전체 Sequence</x:v>
      </x:c>
      <x:c r="H152" s="83" t="str">
        <x:v>E-SEQUENCE</x:v>
      </x:c>
      <x:c r="I152" s="83" t="str">
        <x:v>Drilling.Common/Station/CStationProcess.cs</x:v>
      </x:c>
      <x:c r="J152" s="83" t="str">
        <x:v>CStationProcess</x:v>
      </x:c>
      <x:c r="K152" s="83" t="str">
        <x:v>RunPreCheck</x:v>
      </x:c>
      <x:c r="L152" s="83" t="str">
        <x:v>부분 반영</x:v>
      </x:c>
      <x:c r="M152" s="84" t="n">
        <x:v>0.78</x:v>
      </x:c>
      <x:c r="N152" s="83" t="str">
        <x:v>일부 구현은 확인되나 실장비 연동, Timeout/Alarm/Recovery, 저장·복원 또는 고객 수용시험 증빙이 부족</x:v>
      </x:c>
    </x:row>
    <x:row r="153" ht="42" customHeight="1">
      <x:c r="A153" s="83" t="str">
        <x:v>AM-011</x:v>
      </x:c>
      <x:c r="B153" s="83" t="str">
        <x:v>자동 가공 실행</x:v>
      </x:c>
      <x:c r="C153" s="83" t="n">
        <x:v>53</x:v>
      </x:c>
      <x:c r="D153" s="83" t="str">
        <x:v>Sequence</x:v>
      </x:c>
      <x:c r="E153" s="83" t="str">
        <x:v>Script Build Step 구현</x:v>
      </x:c>
      <x:c r="F153" s="83" t="str">
        <x:v>08-06</x:v>
      </x:c>
      <x:c r="G153" s="83" t="str">
        <x:v>Stage Y OTF/MOF·Encoder/AUX</x:v>
      </x:c>
      <x:c r="H153" s="83" t="str">
        <x:v>E-SEQUENCE</x:v>
      </x:c>
      <x:c r="I153" s="83" t="str">
        <x:v>Drilling.Common/Station/CStationProcess.cs</x:v>
      </x:c>
      <x:c r="J153" s="83" t="str">
        <x:v>CStationProcess</x:v>
      </x:c>
      <x:c r="K153" s="83" t="str">
        <x:v>RunPreCheck</x:v>
      </x:c>
      <x:c r="L153" s="83" t="str">
        <x:v>부분 반영</x:v>
      </x:c>
      <x:c r="M153" s="84" t="n">
        <x:v>0.78</x:v>
      </x:c>
      <x:c r="N153" s="83" t="str">
        <x:v>일부 구현은 확인되나 실장비 연동, Timeout/Alarm/Recovery, 저장·복원 또는 고객 수용시험 증빙이 부족</x:v>
      </x:c>
    </x:row>
    <x:row r="154" ht="42" customHeight="1">
      <x:c r="A154" s="83" t="str">
        <x:v>AM-011</x:v>
      </x:c>
      <x:c r="B154" s="83" t="str">
        <x:v>자동 가공 실행</x:v>
      </x:c>
      <x:c r="C154" s="83" t="n">
        <x:v>54</x:v>
      </x:c>
      <x:c r="D154" s="83" t="str">
        <x:v>Sequence</x:v>
      </x:c>
      <x:c r="E154" s="83" t="str">
        <x:v>Scanning Step 구현</x:v>
      </x:c>
      <x:c r="F154" s="83" t="str">
        <x:v>05-02</x:v>
      </x:c>
      <x:c r="G154" s="83" t="str">
        <x:v>Auto·Step 전체 Sequence</x:v>
      </x:c>
      <x:c r="H154" s="83" t="str">
        <x:v>E-SEQUENCE</x:v>
      </x:c>
      <x:c r="I154" s="83" t="str">
        <x:v>Drilling.Common/Station/CStationProcess.cs</x:v>
      </x:c>
      <x:c r="J154" s="83" t="str">
        <x:v>CStationProcess</x:v>
      </x:c>
      <x:c r="K154" s="83" t="str">
        <x:v>RunPreCheck</x:v>
      </x:c>
      <x:c r="L154" s="83" t="str">
        <x:v>부분 반영</x:v>
      </x:c>
      <x:c r="M154" s="84" t="n">
        <x:v>0.78</x:v>
      </x:c>
      <x:c r="N154" s="83" t="str">
        <x:v>일부 구현은 확인되나 실장비 연동, Timeout/Alarm/Recovery, 저장·복원 또는 고객 수용시험 증빙이 부족</x:v>
      </x:c>
    </x:row>
    <x:row r="155" ht="42" customHeight="1">
      <x:c r="A155" s="83" t="str">
        <x:v>AM-011</x:v>
      </x:c>
      <x:c r="B155" s="83" t="str">
        <x:v>자동 가공 실행</x:v>
      </x:c>
      <x:c r="C155" s="83" t="n">
        <x:v>54</x:v>
      </x:c>
      <x:c r="D155" s="83" t="str">
        <x:v>Sequence</x:v>
      </x:c>
      <x:c r="E155" s="83" t="str">
        <x:v>Scanning Step 구현</x:v>
      </x:c>
      <x:c r="F155" s="83" t="str">
        <x:v>08-06</x:v>
      </x:c>
      <x:c r="G155" s="83" t="str">
        <x:v>Stage Y OTF/MOF·Encoder/AUX</x:v>
      </x:c>
      <x:c r="H155" s="83" t="str">
        <x:v>E-SEQUENCE</x:v>
      </x:c>
      <x:c r="I155" s="83" t="str">
        <x:v>Drilling.Common/Station/CStationProcess.cs</x:v>
      </x:c>
      <x:c r="J155" s="83" t="str">
        <x:v>CStationProcess</x:v>
      </x:c>
      <x:c r="K155" s="83" t="str">
        <x:v>RunPreCheck</x:v>
      </x:c>
      <x:c r="L155" s="83" t="str">
        <x:v>부분 반영</x:v>
      </x:c>
      <x:c r="M155" s="84" t="n">
        <x:v>0.78</x:v>
      </x:c>
      <x:c r="N155" s="83" t="str">
        <x:v>일부 구현은 확인되나 실장비 연동, Timeout/Alarm/Recovery, 저장·복원 또는 고객 수용시험 증빙이 부족</x:v>
      </x:c>
    </x:row>
    <x:row r="156" ht="42" customHeight="1">
      <x:c r="A156" s="83" t="str">
        <x:v>AM-011</x:v>
      </x:c>
      <x:c r="B156" s="83" t="str">
        <x:v>자동 가공 실행</x:v>
      </x:c>
      <x:c r="C156" s="83" t="n">
        <x:v>55</x:v>
      </x:c>
      <x:c r="D156" s="83" t="str">
        <x:v>Sequence</x:v>
      </x:c>
      <x:c r="E156" s="83" t="str">
        <x:v>Review Step 구현</x:v>
      </x:c>
      <x:c r="F156" s="83" t="str">
        <x:v>05-02</x:v>
      </x:c>
      <x:c r="G156" s="83" t="str">
        <x:v>Auto·Step 전체 Sequence</x:v>
      </x:c>
      <x:c r="H156" s="83" t="str">
        <x:v>E-SEQUENCE</x:v>
      </x:c>
      <x:c r="I156" s="83" t="str">
        <x:v>Drilling.Common/Station/CStationProcess.cs</x:v>
      </x:c>
      <x:c r="J156" s="83" t="str">
        <x:v>CStationProcess</x:v>
      </x:c>
      <x:c r="K156" s="83" t="str">
        <x:v>RunPreCheck</x:v>
      </x:c>
      <x:c r="L156" s="83" t="str">
        <x:v>부분 반영</x:v>
      </x:c>
      <x:c r="M156" s="84" t="n">
        <x:v>0.78</x:v>
      </x:c>
      <x:c r="N156" s="83" t="str">
        <x:v>일부 구현은 확인되나 실장비 연동, Timeout/Alarm/Recovery, 저장·복원 또는 고객 수용시험 증빙이 부족</x:v>
      </x:c>
    </x:row>
    <x:row r="157" ht="42" customHeight="1">
      <x:c r="A157" s="83" t="str">
        <x:v>AM-011</x:v>
      </x:c>
      <x:c r="B157" s="83" t="str">
        <x:v>자동 가공 실행</x:v>
      </x:c>
      <x:c r="C157" s="83" t="n">
        <x:v>55</x:v>
      </x:c>
      <x:c r="D157" s="83" t="str">
        <x:v>Sequence</x:v>
      </x:c>
      <x:c r="E157" s="83" t="str">
        <x:v>Review Step 구현</x:v>
      </x:c>
      <x:c r="F157" s="83" t="str">
        <x:v>08-06</x:v>
      </x:c>
      <x:c r="G157" s="83" t="str">
        <x:v>Stage Y OTF/MOF·Encoder/AUX</x:v>
      </x:c>
      <x:c r="H157" s="83" t="str">
        <x:v>E-SEQUENCE</x:v>
      </x:c>
      <x:c r="I157" s="83" t="str">
        <x:v>Drilling.Common/Station/CStationProcess.cs</x:v>
      </x:c>
      <x:c r="J157" s="83" t="str">
        <x:v>CStationProcess</x:v>
      </x:c>
      <x:c r="K157" s="83" t="str">
        <x:v>RunPreCheck</x:v>
      </x:c>
      <x:c r="L157" s="83" t="str">
        <x:v>부분 반영</x:v>
      </x:c>
      <x:c r="M157" s="84" t="n">
        <x:v>0.78</x:v>
      </x:c>
      <x:c r="N157" s="83" t="str">
        <x:v>일부 구현은 확인되나 실장비 연동, Timeout/Alarm/Recovery, 저장·복원 또는 고객 수용시험 증빙이 부족</x:v>
      </x:c>
    </x:row>
    <x:row r="158" ht="42" customHeight="1">
      <x:c r="A158" s="83" t="str">
        <x:v>AM-011</x:v>
      </x:c>
      <x:c r="B158" s="83" t="str">
        <x:v>자동 가공 실행</x:v>
      </x:c>
      <x:c r="C158" s="83" t="n">
        <x:v>56</x:v>
      </x:c>
      <x:c r="D158" s="83" t="str">
        <x:v>Sequence</x:v>
      </x:c>
      <x:c r="E158" s="83" t="str">
        <x:v>Power Check Step 구현</x:v>
      </x:c>
      <x:c r="F158" s="83" t="str">
        <x:v>05-02</x:v>
      </x:c>
      <x:c r="G158" s="83" t="str">
        <x:v>Auto·Step 전체 Sequence</x:v>
      </x:c>
      <x:c r="H158" s="83" t="str">
        <x:v>E-SEQUENCE</x:v>
      </x:c>
      <x:c r="I158" s="83" t="str">
        <x:v>Drilling.Common/Station/CStationProcess.cs</x:v>
      </x:c>
      <x:c r="J158" s="83" t="str">
        <x:v>CStationProcess</x:v>
      </x:c>
      <x:c r="K158" s="83" t="str">
        <x:v>RunPreCheck</x:v>
      </x:c>
      <x:c r="L158" s="83" t="str">
        <x:v>부분 반영</x:v>
      </x:c>
      <x:c r="M158" s="84" t="n">
        <x:v>0.78</x:v>
      </x:c>
      <x:c r="N158" s="83" t="str">
        <x:v>일부 구현은 확인되나 실장비 연동, Timeout/Alarm/Recovery, 저장·복원 또는 고객 수용시험 증빙이 부족</x:v>
      </x:c>
    </x:row>
    <x:row r="159" ht="42" customHeight="1">
      <x:c r="A159" s="83" t="str">
        <x:v>AM-011</x:v>
      </x:c>
      <x:c r="B159" s="83" t="str">
        <x:v>자동 가공 실행</x:v>
      </x:c>
      <x:c r="C159" s="83" t="n">
        <x:v>56</x:v>
      </x:c>
      <x:c r="D159" s="83" t="str">
        <x:v>Sequence</x:v>
      </x:c>
      <x:c r="E159" s="83" t="str">
        <x:v>Power Check Step 구현</x:v>
      </x:c>
      <x:c r="F159" s="83" t="str">
        <x:v>08-06</x:v>
      </x:c>
      <x:c r="G159" s="83" t="str">
        <x:v>Stage Y OTF/MOF·Encoder/AUX</x:v>
      </x:c>
      <x:c r="H159" s="83" t="str">
        <x:v>E-SEQUENCE</x:v>
      </x:c>
      <x:c r="I159" s="83" t="str">
        <x:v>Drilling.Common/Station/CStationProcess.cs</x:v>
      </x:c>
      <x:c r="J159" s="83" t="str">
        <x:v>CStationProcess</x:v>
      </x:c>
      <x:c r="K159" s="83" t="str">
        <x:v>RunPreCheck</x:v>
      </x:c>
      <x:c r="L159" s="83" t="str">
        <x:v>부분 반영</x:v>
      </x:c>
      <x:c r="M159" s="84" t="n">
        <x:v>0.78</x:v>
      </x:c>
      <x:c r="N159" s="83" t="str">
        <x:v>일부 구현은 확인되나 실장비 연동, Timeout/Alarm/Recovery, 저장·복원 또는 고객 수용시험 증빙이 부족</x:v>
      </x:c>
    </x:row>
    <x:row r="160" ht="42" customHeight="1">
      <x:c r="A160" s="83" t="str">
        <x:v>AM-011</x:v>
      </x:c>
      <x:c r="B160" s="83" t="str">
        <x:v>자동 가공 실행</x:v>
      </x:c>
      <x:c r="C160" s="83" t="n">
        <x:v>57</x:v>
      </x:c>
      <x:c r="D160" s="83" t="str">
        <x:v>Sequence</x:v>
      </x:c>
      <x:c r="E160" s="83" t="str">
        <x:v>Process Complete Step 구현</x:v>
      </x:c>
      <x:c r="F160" s="83" t="str">
        <x:v>05-02</x:v>
      </x:c>
      <x:c r="G160" s="83" t="str">
        <x:v>Auto·Step 전체 Sequence</x:v>
      </x:c>
      <x:c r="H160" s="83" t="str">
        <x:v>E-SEQUENCE</x:v>
      </x:c>
      <x:c r="I160" s="83" t="str">
        <x:v>Drilling.Common/Station/CStationProcess.cs</x:v>
      </x:c>
      <x:c r="J160" s="83" t="str">
        <x:v>CStationProcess</x:v>
      </x:c>
      <x:c r="K160" s="83" t="str">
        <x:v>RunPreCheck</x:v>
      </x:c>
      <x:c r="L160" s="83" t="str">
        <x:v>부분 반영</x:v>
      </x:c>
      <x:c r="M160" s="84" t="n">
        <x:v>0.78</x:v>
      </x:c>
      <x:c r="N160" s="83" t="str">
        <x:v>일부 구현은 확인되나 실장비 연동, Timeout/Alarm/Recovery, 저장·복원 또는 고객 수용시험 증빙이 부족</x:v>
      </x:c>
    </x:row>
    <x:row r="161" ht="42" customHeight="1">
      <x:c r="A161" s="83" t="str">
        <x:v>AM-011</x:v>
      </x:c>
      <x:c r="B161" s="83" t="str">
        <x:v>자동 가공 실행</x:v>
      </x:c>
      <x:c r="C161" s="83" t="n">
        <x:v>57</x:v>
      </x:c>
      <x:c r="D161" s="83" t="str">
        <x:v>Sequence</x:v>
      </x:c>
      <x:c r="E161" s="83" t="str">
        <x:v>Process Complete Step 구현</x:v>
      </x:c>
      <x:c r="F161" s="83" t="str">
        <x:v>08-06</x:v>
      </x:c>
      <x:c r="G161" s="83" t="str">
        <x:v>Stage Y OTF/MOF·Encoder/AUX</x:v>
      </x:c>
      <x:c r="H161" s="83" t="str">
        <x:v>E-SEQUENCE</x:v>
      </x:c>
      <x:c r="I161" s="83" t="str">
        <x:v>Drilling.Common/Station/CStationProcess.cs</x:v>
      </x:c>
      <x:c r="J161" s="83" t="str">
        <x:v>CStationProcess</x:v>
      </x:c>
      <x:c r="K161" s="83" t="str">
        <x:v>RunPreCheck</x:v>
      </x:c>
      <x:c r="L161" s="83" t="str">
        <x:v>부분 반영</x:v>
      </x:c>
      <x:c r="M161" s="84" t="n">
        <x:v>0.78</x:v>
      </x:c>
      <x:c r="N161" s="83" t="str">
        <x:v>일부 구현은 확인되나 실장비 연동, Timeout/Alarm/Recovery, 저장·복원 또는 고객 수용시험 증빙이 부족</x:v>
      </x:c>
    </x:row>
    <x:row r="162" ht="42" customHeight="1">
      <x:c r="A162" s="83" t="str">
        <x:v>AM-011</x:v>
      </x:c>
      <x:c r="B162" s="83" t="str">
        <x:v>자동 가공 실행</x:v>
      </x:c>
      <x:c r="C162" s="83" t="n">
        <x:v>58</x:v>
      </x:c>
      <x:c r="D162" s="83" t="str">
        <x:v>Sequence</x:v>
      </x:c>
      <x:c r="E162" s="83" t="str">
        <x:v>Sequence Stop 구현</x:v>
      </x:c>
      <x:c r="F162" s="83" t="str">
        <x:v>05-02</x:v>
      </x:c>
      <x:c r="G162" s="83" t="str">
        <x:v>Auto·Step 전체 Sequence</x:v>
      </x:c>
      <x:c r="H162" s="83" t="str">
        <x:v>E-SEQUENCE-STOP</x:v>
      </x:c>
      <x:c r="I162" s="83" t="str">
        <x:v>Drilling.Common/Station/CStationProcess.cs</x:v>
      </x:c>
      <x:c r="J162" s="83" t="str">
        <x:v>CStationProcess</x:v>
      </x:c>
      <x:c r="K162" s="83" t="str">
        <x:v>ProcessReset</x:v>
      </x:c>
      <x:c r="L162" s="83" t="str">
        <x:v>부분 반영</x:v>
      </x:c>
      <x:c r="M162" s="84" t="n">
        <x:v>0.78</x:v>
      </x:c>
      <x:c r="N162" s="83" t="str">
        <x:v>일부 구현은 확인되나 실장비 연동, Timeout/Alarm/Recovery, 저장·복원 또는 고객 수용시험 증빙이 부족</x:v>
      </x:c>
    </x:row>
    <x:row r="163" ht="42" customHeight="1">
      <x:c r="A163" s="83" t="str">
        <x:v>AM-011</x:v>
      </x:c>
      <x:c r="B163" s="83" t="str">
        <x:v>자동 가공 실행</x:v>
      </x:c>
      <x:c r="C163" s="83" t="n">
        <x:v>58</x:v>
      </x:c>
      <x:c r="D163" s="83" t="str">
        <x:v>Sequence</x:v>
      </x:c>
      <x:c r="E163" s="83" t="str">
        <x:v>Sequence Stop 구현</x:v>
      </x:c>
      <x:c r="F163" s="83" t="str">
        <x:v>08-06</x:v>
      </x:c>
      <x:c r="G163" s="83" t="str">
        <x:v>Stage Y OTF/MOF·Encoder/AUX</x:v>
      </x:c>
      <x:c r="H163" s="83" t="str">
        <x:v>E-SEQUENCE-STOP</x:v>
      </x:c>
      <x:c r="I163" s="83" t="str">
        <x:v>Drilling.Common/Station/CStationProcess.cs</x:v>
      </x:c>
      <x:c r="J163" s="83" t="str">
        <x:v>CStationProcess</x:v>
      </x:c>
      <x:c r="K163" s="83" t="str">
        <x:v>ProcessReset</x:v>
      </x:c>
      <x:c r="L163" s="83" t="str">
        <x:v>부분 반영</x:v>
      </x:c>
      <x:c r="M163" s="84" t="n">
        <x:v>0.78</x:v>
      </x:c>
      <x:c r="N163" s="83" t="str">
        <x:v>일부 구현은 확인되나 실장비 연동, Timeout/Alarm/Recovery, 저장·복원 또는 고객 수용시험 증빙이 부족</x:v>
      </x:c>
    </x:row>
    <x:row r="164" ht="42" customHeight="1">
      <x:c r="A164" s="83" t="str">
        <x:v>AM-011</x:v>
      </x:c>
      <x:c r="B164" s="83" t="str">
        <x:v>자동 가공 실행</x:v>
      </x:c>
      <x:c r="C164" s="83" t="n">
        <x:v>76</x:v>
      </x:c>
      <x:c r="D164" s="83" t="str">
        <x:v>기능</x:v>
      </x:c>
      <x:c r="E164" s="83" t="str">
        <x:v>Main 화면 내 기능 구현</x:v>
      </x:c>
      <x:c r="F164" s="83" t="str">
        <x:v>05-02</x:v>
      </x:c>
      <x:c r="G164" s="83" t="str">
        <x:v>Auto·Step 전체 Sequence</x:v>
      </x:c>
      <x:c r="H164" s="83" t="str">
        <x:v>E-UI-MAIN</x:v>
      </x:c>
      <x:c r="I164" s="83" t="str">
        <x:v>Drilling.UI/Menu/Menus/CMenuMain.cs</x:v>
      </x:c>
      <x:c r="J164" s="83" t="str">
        <x:v>CMenuMain</x:v>
      </x:c>
      <x:c r="K164" s="83" t="str">
        <x:v>RefreshLiveStatus</x:v>
      </x:c>
      <x:c r="L164" s="83" t="str">
        <x:v>부분 반영</x:v>
      </x:c>
      <x:c r="M164" s="84" t="n">
        <x:v>0.78</x:v>
      </x:c>
      <x:c r="N164" s="83" t="str">
        <x:v>일부 구현은 확인되나 실장비 연동, Timeout/Alarm/Recovery, 저장·복원 또는 고객 수용시험 증빙이 부족</x:v>
      </x:c>
    </x:row>
    <x:row r="165" ht="42" customHeight="1">
      <x:c r="A165" s="83" t="str">
        <x:v>AM-011</x:v>
      </x:c>
      <x:c r="B165" s="83" t="str">
        <x:v>자동 가공 실행</x:v>
      </x:c>
      <x:c r="C165" s="83" t="n">
        <x:v>76</x:v>
      </x:c>
      <x:c r="D165" s="83" t="str">
        <x:v>기능</x:v>
      </x:c>
      <x:c r="E165" s="83" t="str">
        <x:v>Main 화면 내 기능 구현</x:v>
      </x:c>
      <x:c r="F165" s="83" t="str">
        <x:v>08-06</x:v>
      </x:c>
      <x:c r="G165" s="83" t="str">
        <x:v>Stage Y OTF/MOF·Encoder/AUX</x:v>
      </x:c>
      <x:c r="H165" s="83" t="str">
        <x:v>E-UI-MAIN</x:v>
      </x:c>
      <x:c r="I165" s="83" t="str">
        <x:v>Drilling.UI/Menu/Menus/CMenuMain.cs</x:v>
      </x:c>
      <x:c r="J165" s="83" t="str">
        <x:v>CMenuMain</x:v>
      </x:c>
      <x:c r="K165" s="83" t="str">
        <x:v>RefreshLiveStatus</x:v>
      </x:c>
      <x:c r="L165" s="83" t="str">
        <x:v>부분 반영</x:v>
      </x:c>
      <x:c r="M165" s="84" t="n">
        <x:v>0.78</x:v>
      </x:c>
      <x:c r="N165" s="83" t="str">
        <x:v>일부 구현은 확인되나 실장비 연동, Timeout/Alarm/Recovery, 저장·복원 또는 고객 수용시험 증빙이 부족</x:v>
      </x:c>
    </x:row>
    <x:row r="166" ht="42" customHeight="1">
      <x:c r="A166" s="83" t="str">
        <x:v>AM-011</x:v>
      </x:c>
      <x:c r="B166" s="83" t="str">
        <x:v>자동 가공 실행</x:v>
      </x:c>
      <x:c r="C166" s="83" t="n">
        <x:v>116</x:v>
      </x:c>
      <x:c r="D166" s="83" t="str">
        <x:v>기능</x:v>
      </x:c>
      <x:c r="E166" s="83" t="str">
        <x:v>Automation1 Script 생성 기능 구현</x:v>
      </x:c>
      <x:c r="F166" s="83" t="str">
        <x:v>05-02</x:v>
      </x:c>
      <x:c r="G166" s="83" t="str">
        <x:v>Auto·Step 전체 Sequence</x:v>
      </x:c>
      <x:c r="H166" s="83" t="str">
        <x:v>E-SCRIPT</x:v>
      </x:c>
      <x:c r="I166" s="83" t="str">
        <x:v>Drilling.File/Script/CAutomation1ScriptFile.cs</x:v>
      </x:c>
      <x:c r="J166" s="83" t="str">
        <x:v>CAutomation1ScriptFile</x:v>
      </x:c>
      <x:c r="K166" s="83" t="str">
        <x:v>Build</x:v>
      </x:c>
      <x:c r="L166" s="83" t="str">
        <x:v>부분 반영</x:v>
      </x:c>
      <x:c r="M166" s="84" t="n">
        <x:v>0.78</x:v>
      </x:c>
      <x:c r="N166" s="83" t="str">
        <x:v>일부 구현은 확인되나 실장비 연동, Timeout/Alarm/Recovery, 저장·복원 또는 고객 수용시험 증빙이 부족</x:v>
      </x:c>
    </x:row>
    <x:row r="167" ht="42" customHeight="1">
      <x:c r="A167" s="83" t="str">
        <x:v>AM-011</x:v>
      </x:c>
      <x:c r="B167" s="83" t="str">
        <x:v>자동 가공 실행</x:v>
      </x:c>
      <x:c r="C167" s="83" t="n">
        <x:v>116</x:v>
      </x:c>
      <x:c r="D167" s="83" t="str">
        <x:v>기능</x:v>
      </x:c>
      <x:c r="E167" s="83" t="str">
        <x:v>Automation1 Script 생성 기능 구현</x:v>
      </x:c>
      <x:c r="F167" s="83" t="str">
        <x:v>08-06</x:v>
      </x:c>
      <x:c r="G167" s="83" t="str">
        <x:v>Stage Y OTF/MOF·Encoder/AUX</x:v>
      </x:c>
      <x:c r="H167" s="83" t="str">
        <x:v>E-SCRIPT</x:v>
      </x:c>
      <x:c r="I167" s="83" t="str">
        <x:v>Drilling.File/Script/CAutomation1ScriptFile.cs</x:v>
      </x:c>
      <x:c r="J167" s="83" t="str">
        <x:v>CAutomation1ScriptFile</x:v>
      </x:c>
      <x:c r="K167" s="83" t="str">
        <x:v>Build</x:v>
      </x:c>
      <x:c r="L167" s="83" t="str">
        <x:v>부분 반영</x:v>
      </x:c>
      <x:c r="M167" s="84" t="n">
        <x:v>0.78</x:v>
      </x:c>
      <x:c r="N167" s="83" t="str">
        <x:v>일부 구현은 확인되나 실장비 연동, Timeout/Alarm/Recovery, 저장·복원 또는 고객 수용시험 증빙이 부족</x:v>
      </x:c>
    </x:row>
    <x:row r="168" ht="42" customHeight="1">
      <x:c r="A168" s="83" t="str">
        <x:v>AM-011</x:v>
      </x:c>
      <x:c r="B168" s="83" t="str">
        <x:v>자동 가공 실행</x:v>
      </x:c>
      <x:c r="C168" s="83" t="n">
        <x:v>117</x:v>
      </x:c>
      <x:c r="D168" s="83" t="str">
        <x:v>기능</x:v>
      </x:c>
      <x:c r="E168" s="83" t="str">
        <x:v>좌표 연동 구현</x:v>
      </x:c>
      <x:c r="F168" s="83" t="str">
        <x:v>05-02</x:v>
      </x:c>
      <x:c r="G168" s="83" t="str">
        <x:v>Auto·Step 전체 Sequence</x:v>
      </x:c>
      <x:c r="H168" s="83" t="str">
        <x:v>E-COORD</x:v>
      </x:c>
      <x:c r="I168" s="83" t="str">
        <x:v>Drilling.Common/Recipe/CRecipeHolePlan.cs</x:v>
      </x:c>
      <x:c r="J168" s="83" t="str">
        <x:v>CRecipeHolePlan</x:v>
      </x:c>
      <x:c r="K168" s="83" t="str">
        <x:v>Build</x:v>
      </x:c>
      <x:c r="L168" s="83" t="str">
        <x:v>부분 반영</x:v>
      </x:c>
      <x:c r="M168" s="84" t="n">
        <x:v>0.78</x:v>
      </x:c>
      <x:c r="N168" s="83" t="str">
        <x:v>일부 구현은 확인되나 실장비 연동, Timeout/Alarm/Recovery, 저장·복원 또는 고객 수용시험 증빙이 부족</x:v>
      </x:c>
    </x:row>
    <x:row r="169" ht="42" customHeight="1">
      <x:c r="A169" s="83" t="str">
        <x:v>AM-011</x:v>
      </x:c>
      <x:c r="B169" s="83" t="str">
        <x:v>자동 가공 실행</x:v>
      </x:c>
      <x:c r="C169" s="83" t="n">
        <x:v>117</x:v>
      </x:c>
      <x:c r="D169" s="83" t="str">
        <x:v>기능</x:v>
      </x:c>
      <x:c r="E169" s="83" t="str">
        <x:v>좌표 연동 구현</x:v>
      </x:c>
      <x:c r="F169" s="83" t="str">
        <x:v>08-06</x:v>
      </x:c>
      <x:c r="G169" s="83" t="str">
        <x:v>Stage Y OTF/MOF·Encoder/AUX</x:v>
      </x:c>
      <x:c r="H169" s="83" t="str">
        <x:v>E-COORD</x:v>
      </x:c>
      <x:c r="I169" s="83" t="str">
        <x:v>Drilling.Common/Recipe/CRecipeHolePlan.cs</x:v>
      </x:c>
      <x:c r="J169" s="83" t="str">
        <x:v>CRecipeHolePlan</x:v>
      </x:c>
      <x:c r="K169" s="83" t="str">
        <x:v>Build</x:v>
      </x:c>
      <x:c r="L169" s="83" t="str">
        <x:v>부분 반영</x:v>
      </x:c>
      <x:c r="M169" s="84" t="n">
        <x:v>0.78</x:v>
      </x:c>
      <x:c r="N169" s="83" t="str">
        <x:v>일부 구현은 확인되나 실장비 연동, Timeout/Alarm/Recovery, 저장·복원 또는 고객 수용시험 증빙이 부족</x:v>
      </x:c>
    </x:row>
    <x:row r="170" ht="42" customHeight="1">
      <x:c r="A170" s="83" t="str">
        <x:v>AM-012</x:v>
      </x:c>
      <x:c r="B170" s="83" t="str">
        <x:v>자동 정밀도 보정</x:v>
      </x:c>
      <x:c r="C170" s="83" t="n">
        <x:v>55</x:v>
      </x:c>
      <x:c r="D170" s="83" t="str">
        <x:v>Sequence</x:v>
      </x:c>
      <x:c r="E170" s="83" t="str">
        <x:v>Review Step 구현</x:v>
      </x:c>
      <x:c r="F170" s="83" t="str">
        <x:v>09-04</x:v>
      </x:c>
      <x:c r="G170" s="83" t="str">
        <x:v>ATT Power 보정·APC</x:v>
      </x:c>
      <x:c r="H170" s="83" t="str">
        <x:v>E-SEQUENCE</x:v>
      </x:c>
      <x:c r="I170" s="83" t="str">
        <x:v>Drilling.Common/Station/CStationProcess.cs</x:v>
      </x:c>
      <x:c r="J170" s="83" t="str">
        <x:v>CStationProcess</x:v>
      </x:c>
      <x:c r="K170" s="83" t="str">
        <x:v>RunPreCheck</x:v>
      </x:c>
      <x:c r="L170" s="83" t="str">
        <x:v>유사하나 불충분</x:v>
      </x:c>
      <x:c r="M170" s="84" t="n">
        <x:v>0.61</x:v>
      </x:c>
      <x:c r="N170" s="83" t="str">
        <x:v>유사 UI/기초 로직은 있으나 고객 대상·조건·데이터·적용방식이 달라 사양확정과 전용 로직·검증이 필요</x:v>
      </x:c>
    </x:row>
    <x:row r="171" ht="42" customHeight="1">
      <x:c r="A171" s="83" t="str">
        <x:v>AM-012</x:v>
      </x:c>
      <x:c r="B171" s="83" t="str">
        <x:v>자동 정밀도 보정</x:v>
      </x:c>
      <x:c r="C171" s="83" t="n">
        <x:v>55</x:v>
      </x:c>
      <x:c r="D171" s="83" t="str">
        <x:v>Sequence</x:v>
      </x:c>
      <x:c r="E171" s="83" t="str">
        <x:v>Review Step 구현</x:v>
      </x:c>
      <x:c r="F171" s="83" t="str">
        <x:v>07-05</x:v>
      </x:c>
      <x:c r="G171" s="83" t="str">
        <x:v>Review 계획·측정·재검사</x:v>
      </x:c>
      <x:c r="H171" s="83" t="str">
        <x:v>E-SEQUENCE</x:v>
      </x:c>
      <x:c r="I171" s="83" t="str">
        <x:v>Drilling.Common/Station/CStationProcess.cs</x:v>
      </x:c>
      <x:c r="J171" s="83" t="str">
        <x:v>CStationProcess</x:v>
      </x:c>
      <x:c r="K171" s="83" t="str">
        <x:v>RunPreCheck</x:v>
      </x:c>
      <x:c r="L171" s="83" t="str">
        <x:v>유사하나 불충분</x:v>
      </x:c>
      <x:c r="M171" s="84" t="n">
        <x:v>0.61</x:v>
      </x:c>
      <x:c r="N171" s="83" t="str">
        <x:v>유사 UI/기초 로직은 있으나 고객 대상·조건·데이터·적용방식이 달라 사양확정과 전용 로직·검증이 필요</x:v>
      </x:c>
    </x:row>
    <x:row r="172" ht="42" customHeight="1">
      <x:c r="A172" s="83" t="str">
        <x:v>AM-012</x:v>
      </x:c>
      <x:c r="B172" s="83" t="str">
        <x:v>자동 정밀도 보정</x:v>
      </x:c>
      <x:c r="C172" s="83" t="n">
        <x:v>56</x:v>
      </x:c>
      <x:c r="D172" s="83" t="str">
        <x:v>Sequence</x:v>
      </x:c>
      <x:c r="E172" s="83" t="str">
        <x:v>Power Check Step 구현</x:v>
      </x:c>
      <x:c r="F172" s="83" t="str">
        <x:v>09-04</x:v>
      </x:c>
      <x:c r="G172" s="83" t="str">
        <x:v>ATT Power 보정·APC</x:v>
      </x:c>
      <x:c r="H172" s="83" t="str">
        <x:v>E-SEQUENCE</x:v>
      </x:c>
      <x:c r="I172" s="83" t="str">
        <x:v>Drilling.Common/Station/CStationProcess.cs</x:v>
      </x:c>
      <x:c r="J172" s="83" t="str">
        <x:v>CStationProcess</x:v>
      </x:c>
      <x:c r="K172" s="83" t="str">
        <x:v>RunPreCheck</x:v>
      </x:c>
      <x:c r="L172" s="83" t="str">
        <x:v>유사하나 불충분</x:v>
      </x:c>
      <x:c r="M172" s="84" t="n">
        <x:v>0.61</x:v>
      </x:c>
      <x:c r="N172" s="83" t="str">
        <x:v>유사 UI/기초 로직은 있으나 고객 대상·조건·데이터·적용방식이 달라 사양확정과 전용 로직·검증이 필요</x:v>
      </x:c>
    </x:row>
    <x:row r="173" ht="42" customHeight="1">
      <x:c r="A173" s="83" t="str">
        <x:v>AM-012</x:v>
      </x:c>
      <x:c r="B173" s="83" t="str">
        <x:v>자동 정밀도 보정</x:v>
      </x:c>
      <x:c r="C173" s="83" t="n">
        <x:v>56</x:v>
      </x:c>
      <x:c r="D173" s="83" t="str">
        <x:v>Sequence</x:v>
      </x:c>
      <x:c r="E173" s="83" t="str">
        <x:v>Power Check Step 구현</x:v>
      </x:c>
      <x:c r="F173" s="83" t="str">
        <x:v>07-05</x:v>
      </x:c>
      <x:c r="G173" s="83" t="str">
        <x:v>Review 계획·측정·재검사</x:v>
      </x:c>
      <x:c r="H173" s="83" t="str">
        <x:v>E-SEQUENCE</x:v>
      </x:c>
      <x:c r="I173" s="83" t="str">
        <x:v>Drilling.Common/Station/CStationProcess.cs</x:v>
      </x:c>
      <x:c r="J173" s="83" t="str">
        <x:v>CStationProcess</x:v>
      </x:c>
      <x:c r="K173" s="83" t="str">
        <x:v>RunPreCheck</x:v>
      </x:c>
      <x:c r="L173" s="83" t="str">
        <x:v>유사하나 불충분</x:v>
      </x:c>
      <x:c r="M173" s="84" t="n">
        <x:v>0.61</x:v>
      </x:c>
      <x:c r="N173" s="83" t="str">
        <x:v>유사 UI/기초 로직은 있으나 고객 대상·조건·데이터·적용방식이 달라 사양확정과 전용 로직·검증이 필요</x:v>
      </x:c>
    </x:row>
    <x:row r="174" ht="42" customHeight="1">
      <x:c r="A174" s="83" t="str">
        <x:v>AM-012</x:v>
      </x:c>
      <x:c r="B174" s="83" t="str">
        <x:v>자동 정밀도 보정</x:v>
      </x:c>
      <x:c r="C174" s="83" t="n">
        <x:v>89</x:v>
      </x:c>
      <x:c r="D174" s="83" t="str">
        <x:v>기능</x:v>
      </x:c>
      <x:c r="E174" s="83" t="str">
        <x:v>Review - 측정 명령 구현</x:v>
      </x:c>
      <x:c r="F174" s="83" t="str">
        <x:v>09-04</x:v>
      </x:c>
      <x:c r="G174" s="83" t="str">
        <x:v>ATT Power 보정·APC</x:v>
      </x:c>
      <x:c r="H174" s="83" t="str">
        <x:v>E-REVIEW</x:v>
      </x:c>
      <x:c r="I174" s="83" t="str">
        <x:v>Drilling.Common/Review/CReviewManager.cs</x:v>
      </x:c>
      <x:c r="J174" s="83" t="str">
        <x:v>CReviewManager</x:v>
      </x:c>
      <x:c r="K174" s="83" t="str">
        <x:v>CreatePlan</x:v>
      </x:c>
      <x:c r="L174" s="83" t="str">
        <x:v>유사하나 불충분</x:v>
      </x:c>
      <x:c r="M174" s="84" t="n">
        <x:v>0.61</x:v>
      </x:c>
      <x:c r="N174" s="83" t="str">
        <x:v>유사 UI/기초 로직은 있으나 고객 대상·조건·데이터·적용방식이 달라 사양확정과 전용 로직·검증이 필요</x:v>
      </x:c>
    </x:row>
    <x:row r="175" ht="42" customHeight="1">
      <x:c r="A175" s="83" t="str">
        <x:v>AM-012</x:v>
      </x:c>
      <x:c r="B175" s="83" t="str">
        <x:v>자동 정밀도 보정</x:v>
      </x:c>
      <x:c r="C175" s="83" t="n">
        <x:v>89</x:v>
      </x:c>
      <x:c r="D175" s="83" t="str">
        <x:v>기능</x:v>
      </x:c>
      <x:c r="E175" s="83" t="str">
        <x:v>Review - 측정 명령 구현</x:v>
      </x:c>
      <x:c r="F175" s="83" t="str">
        <x:v>07-05</x:v>
      </x:c>
      <x:c r="G175" s="83" t="str">
        <x:v>Review 계획·측정·재검사</x:v>
      </x:c>
      <x:c r="H175" s="83" t="str">
        <x:v>E-REVIEW</x:v>
      </x:c>
      <x:c r="I175" s="83" t="str">
        <x:v>Drilling.Common/Review/CReviewManager.cs</x:v>
      </x:c>
      <x:c r="J175" s="83" t="str">
        <x:v>CReviewManager</x:v>
      </x:c>
      <x:c r="K175" s="83" t="str">
        <x:v>CreatePlan</x:v>
      </x:c>
      <x:c r="L175" s="83" t="str">
        <x:v>유사하나 불충분</x:v>
      </x:c>
      <x:c r="M175" s="84" t="n">
        <x:v>0.61</x:v>
      </x:c>
      <x:c r="N175" s="83" t="str">
        <x:v>유사 UI/기초 로직은 있으나 고객 대상·조건·데이터·적용방식이 달라 사양확정과 전용 로직·검증이 필요</x:v>
      </x:c>
    </x:row>
    <x:row r="176" ht="42" customHeight="1">
      <x:c r="A176" s="83" t="str">
        <x:v>AM-012</x:v>
      </x:c>
      <x:c r="B176" s="83" t="str">
        <x:v>자동 정밀도 보정</x:v>
      </x:c>
      <x:c r="C176" s="83" t="n">
        <x:v>90</x:v>
      </x:c>
      <x:c r="D176" s="83" t="str">
        <x:v>기능</x:v>
      </x:c>
      <x:c r="E176" s="83" t="str">
        <x:v>Review - 좌표 처리 구현</x:v>
      </x:c>
      <x:c r="F176" s="83" t="str">
        <x:v>09-04</x:v>
      </x:c>
      <x:c r="G176" s="83" t="str">
        <x:v>ATT Power 보정·APC</x:v>
      </x:c>
      <x:c r="H176" s="83" t="str">
        <x:v>E-REVIEW</x:v>
      </x:c>
      <x:c r="I176" s="83" t="str">
        <x:v>Drilling.Common/Review/CReviewManager.cs</x:v>
      </x:c>
      <x:c r="J176" s="83" t="str">
        <x:v>CReviewManager</x:v>
      </x:c>
      <x:c r="K176" s="83" t="str">
        <x:v>CreatePlan</x:v>
      </x:c>
      <x:c r="L176" s="83" t="str">
        <x:v>유사하나 불충분</x:v>
      </x:c>
      <x:c r="M176" s="84" t="n">
        <x:v>0.61</x:v>
      </x:c>
      <x:c r="N176" s="83" t="str">
        <x:v>유사 UI/기초 로직은 있으나 고객 대상·조건·데이터·적용방식이 달라 사양확정과 전용 로직·검증이 필요</x:v>
      </x:c>
    </x:row>
    <x:row r="177" ht="42" customHeight="1">
      <x:c r="A177" s="83" t="str">
        <x:v>AM-012</x:v>
      </x:c>
      <x:c r="B177" s="83" t="str">
        <x:v>자동 정밀도 보정</x:v>
      </x:c>
      <x:c r="C177" s="83" t="n">
        <x:v>90</x:v>
      </x:c>
      <x:c r="D177" s="83" t="str">
        <x:v>기능</x:v>
      </x:c>
      <x:c r="E177" s="83" t="str">
        <x:v>Review - 좌표 처리 구현</x:v>
      </x:c>
      <x:c r="F177" s="83" t="str">
        <x:v>07-05</x:v>
      </x:c>
      <x:c r="G177" s="83" t="str">
        <x:v>Review 계획·측정·재검사</x:v>
      </x:c>
      <x:c r="H177" s="83" t="str">
        <x:v>E-REVIEW</x:v>
      </x:c>
      <x:c r="I177" s="83" t="str">
        <x:v>Drilling.Common/Review/CReviewManager.cs</x:v>
      </x:c>
      <x:c r="J177" s="83" t="str">
        <x:v>CReviewManager</x:v>
      </x:c>
      <x:c r="K177" s="83" t="str">
        <x:v>CreatePlan</x:v>
      </x:c>
      <x:c r="L177" s="83" t="str">
        <x:v>유사하나 불충분</x:v>
      </x:c>
      <x:c r="M177" s="84" t="n">
        <x:v>0.61</x:v>
      </x:c>
      <x:c r="N177" s="83" t="str">
        <x:v>유사 UI/기초 로직은 있으나 고객 대상·조건·데이터·적용방식이 달라 사양확정과 전용 로직·검증이 필요</x:v>
      </x:c>
    </x:row>
    <x:row r="178" ht="42" customHeight="1">
      <x:c r="A178" s="83" t="str">
        <x:v>AM-012</x:v>
      </x:c>
      <x:c r="B178" s="83" t="str">
        <x:v>자동 정밀도 보정</x:v>
      </x:c>
      <x:c r="C178" s="83" t="n">
        <x:v>91</x:v>
      </x:c>
      <x:c r="D178" s="83" t="str">
        <x:v>기능</x:v>
      </x:c>
      <x:c r="E178" s="83" t="str">
        <x:v>Review - Offset 결과 수신 및 저장 구현</x:v>
      </x:c>
      <x:c r="F178" s="83" t="str">
        <x:v>09-04</x:v>
      </x:c>
      <x:c r="G178" s="83" t="str">
        <x:v>ATT Power 보정·APC</x:v>
      </x:c>
      <x:c r="H178" s="83" t="str">
        <x:v>E-REVIEW</x:v>
      </x:c>
      <x:c r="I178" s="83" t="str">
        <x:v>Drilling.Common/Review/CReviewManager.cs</x:v>
      </x:c>
      <x:c r="J178" s="83" t="str">
        <x:v>CReviewManager</x:v>
      </x:c>
      <x:c r="K178" s="83" t="str">
        <x:v>CreatePlan</x:v>
      </x:c>
      <x:c r="L178" s="83" t="str">
        <x:v>유사하나 불충분</x:v>
      </x:c>
      <x:c r="M178" s="84" t="n">
        <x:v>0.61</x:v>
      </x:c>
      <x:c r="N178" s="83" t="str">
        <x:v>유사 UI/기초 로직은 있으나 고객 대상·조건·데이터·적용방식이 달라 사양확정과 전용 로직·검증이 필요</x:v>
      </x:c>
    </x:row>
    <x:row r="179" ht="42" customHeight="1">
      <x:c r="A179" s="83" t="str">
        <x:v>AM-012</x:v>
      </x:c>
      <x:c r="B179" s="83" t="str">
        <x:v>자동 정밀도 보정</x:v>
      </x:c>
      <x:c r="C179" s="83" t="n">
        <x:v>91</x:v>
      </x:c>
      <x:c r="D179" s="83" t="str">
        <x:v>기능</x:v>
      </x:c>
      <x:c r="E179" s="83" t="str">
        <x:v>Review - Offset 결과 수신 및 저장 구현</x:v>
      </x:c>
      <x:c r="F179" s="83" t="str">
        <x:v>07-05</x:v>
      </x:c>
      <x:c r="G179" s="83" t="str">
        <x:v>Review 계획·측정·재검사</x:v>
      </x:c>
      <x:c r="H179" s="83" t="str">
        <x:v>E-REVIEW</x:v>
      </x:c>
      <x:c r="I179" s="83" t="str">
        <x:v>Drilling.Common/Review/CReviewManager.cs</x:v>
      </x:c>
      <x:c r="J179" s="83" t="str">
        <x:v>CReviewManager</x:v>
      </x:c>
      <x:c r="K179" s="83" t="str">
        <x:v>CreatePlan</x:v>
      </x:c>
      <x:c r="L179" s="83" t="str">
        <x:v>유사하나 불충분</x:v>
      </x:c>
      <x:c r="M179" s="84" t="n">
        <x:v>0.61</x:v>
      </x:c>
      <x:c r="N179" s="83" t="str">
        <x:v>유사 UI/기초 로직은 있으나 고객 대상·조건·데이터·적용방식이 달라 사양확정과 전용 로직·검증이 필요</x:v>
      </x:c>
    </x:row>
    <x:row r="180" ht="42" customHeight="1">
      <x:c r="A180" s="83" t="str">
        <x:v>AM-012</x:v>
      </x:c>
      <x:c r="B180" s="83" t="str">
        <x:v>자동 정밀도 보정</x:v>
      </x:c>
      <x:c r="C180" s="83" t="n">
        <x:v>92</x:v>
      </x:c>
      <x:c r="D180" s="83" t="str">
        <x:v>기능</x:v>
      </x:c>
      <x:c r="E180" s="83" t="str">
        <x:v>Review - Offset 적용 구현</x:v>
      </x:c>
      <x:c r="F180" s="83" t="str">
        <x:v>09-04</x:v>
      </x:c>
      <x:c r="G180" s="83" t="str">
        <x:v>ATT Power 보정·APC</x:v>
      </x:c>
      <x:c r="H180" s="83" t="str">
        <x:v>E-REVIEW</x:v>
      </x:c>
      <x:c r="I180" s="83" t="str">
        <x:v>Drilling.Common/Review/CReviewManager.cs</x:v>
      </x:c>
      <x:c r="J180" s="83" t="str">
        <x:v>CReviewManager</x:v>
      </x:c>
      <x:c r="K180" s="83" t="str">
        <x:v>CreatePlan</x:v>
      </x:c>
      <x:c r="L180" s="83" t="str">
        <x:v>유사하나 불충분</x:v>
      </x:c>
      <x:c r="M180" s="84" t="n">
        <x:v>0.61</x:v>
      </x:c>
      <x:c r="N180" s="83" t="str">
        <x:v>유사 UI/기초 로직은 있으나 고객 대상·조건·데이터·적용방식이 달라 사양확정과 전용 로직·검증이 필요</x:v>
      </x:c>
    </x:row>
    <x:row r="181" ht="42" customHeight="1">
      <x:c r="A181" s="83" t="str">
        <x:v>AM-012</x:v>
      </x:c>
      <x:c r="B181" s="83" t="str">
        <x:v>자동 정밀도 보정</x:v>
      </x:c>
      <x:c r="C181" s="83" t="n">
        <x:v>92</x:v>
      </x:c>
      <x:c r="D181" s="83" t="str">
        <x:v>기능</x:v>
      </x:c>
      <x:c r="E181" s="83" t="str">
        <x:v>Review - Offset 적용 구현</x:v>
      </x:c>
      <x:c r="F181" s="83" t="str">
        <x:v>07-05</x:v>
      </x:c>
      <x:c r="G181" s="83" t="str">
        <x:v>Review 계획·측정·재검사</x:v>
      </x:c>
      <x:c r="H181" s="83" t="str">
        <x:v>E-REVIEW</x:v>
      </x:c>
      <x:c r="I181" s="83" t="str">
        <x:v>Drilling.Common/Review/CReviewManager.cs</x:v>
      </x:c>
      <x:c r="J181" s="83" t="str">
        <x:v>CReviewManager</x:v>
      </x:c>
      <x:c r="K181" s="83" t="str">
        <x:v>CreatePlan</x:v>
      </x:c>
      <x:c r="L181" s="83" t="str">
        <x:v>유사하나 불충분</x:v>
      </x:c>
      <x:c r="M181" s="84" t="n">
        <x:v>0.61</x:v>
      </x:c>
      <x:c r="N181" s="83" t="str">
        <x:v>유사 UI/기초 로직은 있으나 고객 대상·조건·데이터·적용방식이 달라 사양확정과 전용 로직·검증이 필요</x:v>
      </x:c>
    </x:row>
    <x:row r="182" ht="42" customHeight="1">
      <x:c r="A182" s="83" t="str">
        <x:v>AM-012</x:v>
      </x:c>
      <x:c r="B182" s="83" t="str">
        <x:v>자동 정밀도 보정</x:v>
      </x:c>
      <x:c r="C182" s="83" t="n">
        <x:v>105</x:v>
      </x:c>
      <x:c r="D182" s="83" t="str">
        <x:v>기능</x:v>
      </x:c>
      <x:c r="E182" s="83" t="str">
        <x:v>Monitoring - PowerMeter 단위 동작 구현</x:v>
      </x:c>
      <x:c r="F182" s="83" t="str">
        <x:v>09-04</x:v>
      </x:c>
      <x:c r="G182" s="83" t="str">
        <x:v>ATT Power 보정·APC</x:v>
      </x:c>
      <x:c r="H182" s="83" t="str">
        <x:v>E-POWERMETER</x:v>
      </x:c>
      <x:c r="I182" s="83" t="str">
        <x:v>Drilling.Common/Interface/Serial/CPowerMeter.cs</x:v>
      </x:c>
      <x:c r="J182" s="83" t="str">
        <x:v>CPowerMeter</x:v>
      </x:c>
      <x:c r="K182" s="83" t="str">
        <x:v>Execute</x:v>
      </x:c>
      <x:c r="L182" s="83" t="str">
        <x:v>유사하나 불충분</x:v>
      </x:c>
      <x:c r="M182" s="84" t="n">
        <x:v>0.61</x:v>
      </x:c>
      <x:c r="N182" s="83" t="str">
        <x:v>유사 UI/기초 로직은 있으나 고객 대상·조건·데이터·적용방식이 달라 사양확정과 전용 로직·검증이 필요</x:v>
      </x:c>
    </x:row>
    <x:row r="183" ht="42" customHeight="1">
      <x:c r="A183" s="83" t="str">
        <x:v>AM-012</x:v>
      </x:c>
      <x:c r="B183" s="83" t="str">
        <x:v>자동 정밀도 보정</x:v>
      </x:c>
      <x:c r="C183" s="83" t="n">
        <x:v>105</x:v>
      </x:c>
      <x:c r="D183" s="83" t="str">
        <x:v>기능</x:v>
      </x:c>
      <x:c r="E183" s="83" t="str">
        <x:v>Monitoring - PowerMeter 단위 동작 구현</x:v>
      </x:c>
      <x:c r="F183" s="83" t="str">
        <x:v>07-05</x:v>
      </x:c>
      <x:c r="G183" s="83" t="str">
        <x:v>Review 계획·측정·재검사</x:v>
      </x:c>
      <x:c r="H183" s="83" t="str">
        <x:v>E-POWERMETER</x:v>
      </x:c>
      <x:c r="I183" s="83" t="str">
        <x:v>Drilling.Common/Interface/Serial/CPowerMeter.cs</x:v>
      </x:c>
      <x:c r="J183" s="83" t="str">
        <x:v>CPowerMeter</x:v>
      </x:c>
      <x:c r="K183" s="83" t="str">
        <x:v>Execute</x:v>
      </x:c>
      <x:c r="L183" s="83" t="str">
        <x:v>유사하나 불충분</x:v>
      </x:c>
      <x:c r="M183" s="84" t="n">
        <x:v>0.61</x:v>
      </x:c>
      <x:c r="N183" s="83" t="str">
        <x:v>유사 UI/기초 로직은 있으나 고객 대상·조건·데이터·적용방식이 달라 사양확정과 전용 로직·검증이 필요</x:v>
      </x:c>
    </x:row>
    <x:row r="184" ht="42" customHeight="1">
      <x:c r="A184" s="83" t="str">
        <x:v>AM-012</x:v>
      </x:c>
      <x:c r="B184" s="83" t="str">
        <x:v>자동 정밀도 보정</x:v>
      </x:c>
      <x:c r="C184" s="83" t="n">
        <x:v>112</x:v>
      </x:c>
      <x:c r="D184" s="83" t="str">
        <x:v>기능</x:v>
      </x:c>
      <x:c r="E184" s="83" t="str">
        <x:v>APC Offset 적용 구현</x:v>
      </x:c>
      <x:c r="F184" s="83" t="str">
        <x:v>09-04</x:v>
      </x:c>
      <x:c r="G184" s="83" t="str">
        <x:v>ATT Power 보정·APC</x:v>
      </x:c>
      <x:c r="H184" s="83" t="str">
        <x:v>E-APC-PLACEHOLDER</x:v>
      </x:c>
      <x:c r="I184" s="83" t="str">
        <x:v>Drilling.UI/Menu/Menus/CMenuCorrection.cs</x:v>
      </x:c>
      <x:c r="J184" s="83" t="str">
        <x:v>CMenuCorrection</x:v>
      </x:c>
      <x:c r="K184" s="83" t="str">
        <x:v>CreateApcIcrData</x:v>
      </x:c>
      <x:c r="L184" s="83" t="str">
        <x:v>유사하나 불충분</x:v>
      </x:c>
      <x:c r="M184" s="84" t="n">
        <x:v>0.61</x:v>
      </x:c>
      <x:c r="N184" s="83" t="str">
        <x:v>유사 UI/기초 로직은 있으나 고객 대상·조건·데이터·적용방식이 달라 사양확정과 전용 로직·검증이 필요</x:v>
      </x:c>
    </x:row>
    <x:row r="185" ht="42" customHeight="1">
      <x:c r="A185" s="83" t="str">
        <x:v>AM-012</x:v>
      </x:c>
      <x:c r="B185" s="83" t="str">
        <x:v>자동 정밀도 보정</x:v>
      </x:c>
      <x:c r="C185" s="83" t="n">
        <x:v>112</x:v>
      </x:c>
      <x:c r="D185" s="83" t="str">
        <x:v>기능</x:v>
      </x:c>
      <x:c r="E185" s="83" t="str">
        <x:v>APC Offset 적용 구현</x:v>
      </x:c>
      <x:c r="F185" s="83" t="str">
        <x:v>07-05</x:v>
      </x:c>
      <x:c r="G185" s="83" t="str">
        <x:v>Review 계획·측정·재검사</x:v>
      </x:c>
      <x:c r="H185" s="83" t="str">
        <x:v>E-APC-PLACEHOLDER</x:v>
      </x:c>
      <x:c r="I185" s="83" t="str">
        <x:v>Drilling.UI/Menu/Menus/CMenuCorrection.cs</x:v>
      </x:c>
      <x:c r="J185" s="83" t="str">
        <x:v>CMenuCorrection</x:v>
      </x:c>
      <x:c r="K185" s="83" t="str">
        <x:v>CreateApcIcrData</x:v>
      </x:c>
      <x:c r="L185" s="83" t="str">
        <x:v>유사하나 불충분</x:v>
      </x:c>
      <x:c r="M185" s="84" t="n">
        <x:v>0.61</x:v>
      </x:c>
      <x:c r="N185" s="83" t="str">
        <x:v>유사 UI/기초 로직은 있으나 고객 대상·조건·데이터·적용방식이 달라 사양확정과 전용 로직·검증이 필요</x:v>
      </x:c>
    </x:row>
    <x:row r="186" ht="42" customHeight="1">
      <x:c r="A186" s="83" t="str">
        <x:v>AM-013</x:v>
      </x:c>
      <x:c r="B186" s="83" t="str">
        <x:v>운전 모드 제어</x:v>
      </x:c>
      <x:c r="C186" s="83" t="n">
        <x:v>4</x:v>
      </x:c>
      <x:c r="D186" s="83" t="str">
        <x:v>UI</x:v>
      </x:c>
      <x:c r="E186" s="83" t="str">
        <x:v>Main 화면 - Auto Run Start/Stop 버튼 구현</x:v>
      </x:c>
      <x:c r="F186" s="83" t="str">
        <x:v>05-04</x:v>
      </x:c>
      <x:c r="G186" s="83" t="str">
        <x:v>보호윈도우 교체 Sequence</x:v>
      </x:c>
      <x:c r="H186" s="83" t="str">
        <x:v>E-UI-MAIN</x:v>
      </x:c>
      <x:c r="I186" s="83" t="str">
        <x:v>Drilling.UI/Menu/Menus/CMenuMain.cs</x:v>
      </x:c>
      <x:c r="J186" s="83" t="str">
        <x:v>CMenuMain</x:v>
      </x:c>
      <x:c r="K186" s="83" t="str">
        <x:v>RefreshLiveStatus</x:v>
      </x:c>
      <x:c r="L186" s="83" t="str">
        <x:v>부분 반영</x:v>
      </x:c>
      <x:c r="M186" s="84" t="n">
        <x:v>0.73</x:v>
      </x:c>
      <x:c r="N186" s="83" t="str">
        <x:v>일부 구현은 확인되나 실장비 연동, Timeout/Alarm/Recovery, 저장·복원 또는 고객 수용시험 증빙이 부족</x:v>
      </x:c>
    </x:row>
    <x:row r="187" ht="42" customHeight="1">
      <x:c r="A187" s="83" t="str">
        <x:v>AM-013</x:v>
      </x:c>
      <x:c r="B187" s="83" t="str">
        <x:v>운전 모드 제어</x:v>
      </x:c>
      <x:c r="C187" s="83" t="n">
        <x:v>58</x:v>
      </x:c>
      <x:c r="D187" s="83" t="str">
        <x:v>Sequence</x:v>
      </x:c>
      <x:c r="E187" s="83" t="str">
        <x:v>Sequence Stop 구현</x:v>
      </x:c>
      <x:c r="F187" s="83" t="str">
        <x:v>05-04</x:v>
      </x:c>
      <x:c r="G187" s="83" t="str">
        <x:v>보호윈도우 교체 Sequence</x:v>
      </x:c>
      <x:c r="H187" s="83" t="str">
        <x:v>E-SEQUENCE-STOP</x:v>
      </x:c>
      <x:c r="I187" s="83" t="str">
        <x:v>Drilling.Common/Station/CStationProcess.cs</x:v>
      </x:c>
      <x:c r="J187" s="83" t="str">
        <x:v>CStationProcess</x:v>
      </x:c>
      <x:c r="K187" s="83" t="str">
        <x:v>ProcessReset</x:v>
      </x:c>
      <x:c r="L187" s="83" t="str">
        <x:v>부분 반영</x:v>
      </x:c>
      <x:c r="M187" s="84" t="n">
        <x:v>0.73</x:v>
      </x:c>
      <x:c r="N187" s="83" t="str">
        <x:v>일부 구현은 확인되나 실장비 연동, Timeout/Alarm/Recovery, 저장·복원 또는 고객 수용시험 증빙이 부족</x:v>
      </x:c>
    </x:row>
    <x:row r="188" ht="42" customHeight="1">
      <x:c r="A188" s="83" t="str">
        <x:v>AM-013</x:v>
      </x:c>
      <x:c r="B188" s="83" t="str">
        <x:v>운전 모드 제어</x:v>
      </x:c>
      <x:c r="C188" s="83" t="n">
        <x:v>59</x:v>
      </x:c>
      <x:c r="D188" s="83" t="str">
        <x:v>Sequence</x:v>
      </x:c>
      <x:c r="E188" s="83" t="str">
        <x:v>Recovery Sequence - 중단 처리 구현</x:v>
      </x:c>
      <x:c r="F188" s="83" t="str">
        <x:v>05-04</x:v>
      </x:c>
      <x:c r="G188" s="83" t="str">
        <x:v>보호윈도우 교체 Sequence</x:v>
      </x:c>
      <x:c r="H188" s="83" t="str">
        <x:v>E-SEQUENCE-STOP</x:v>
      </x:c>
      <x:c r="I188" s="83" t="str">
        <x:v>Drilling.Common/Station/CStationProcess.cs</x:v>
      </x:c>
      <x:c r="J188" s="83" t="str">
        <x:v>CStationProcess</x:v>
      </x:c>
      <x:c r="K188" s="83" t="str">
        <x:v>ProcessReset</x:v>
      </x:c>
      <x:c r="L188" s="83" t="str">
        <x:v>부분 반영</x:v>
      </x:c>
      <x:c r="M188" s="84" t="n">
        <x:v>0.73</x:v>
      </x:c>
      <x:c r="N188" s="83" t="str">
        <x:v>일부 구현은 확인되나 실장비 연동, Timeout/Alarm/Recovery, 저장·복원 또는 고객 수용시험 증빙이 부족</x:v>
      </x:c>
    </x:row>
    <x:row r="189" ht="42" customHeight="1">
      <x:c r="A189" s="83" t="str">
        <x:v>AM-013</x:v>
      </x:c>
      <x:c r="B189" s="83" t="str">
        <x:v>운전 모드 제어</x:v>
      </x:c>
      <x:c r="C189" s="83" t="n">
        <x:v>60</x:v>
      </x:c>
      <x:c r="D189" s="83" t="str">
        <x:v>Sequence</x:v>
      </x:c>
      <x:c r="E189" s="83" t="str">
        <x:v>Recovery Sequence - Alarm 후 Reset 구현</x:v>
      </x:c>
      <x:c r="F189" s="83" t="str">
        <x:v>05-04</x:v>
      </x:c>
      <x:c r="G189" s="83" t="str">
        <x:v>보호윈도우 교체 Sequence</x:v>
      </x:c>
      <x:c r="H189" s="83" t="str">
        <x:v>E-SEQUENCE-STOP</x:v>
      </x:c>
      <x:c r="I189" s="83" t="str">
        <x:v>Drilling.Common/Station/CStationProcess.cs</x:v>
      </x:c>
      <x:c r="J189" s="83" t="str">
        <x:v>CStationProcess</x:v>
      </x:c>
      <x:c r="K189" s="83" t="str">
        <x:v>ProcessReset</x:v>
      </x:c>
      <x:c r="L189" s="83" t="str">
        <x:v>부분 반영</x:v>
      </x:c>
      <x:c r="M189" s="84" t="n">
        <x:v>0.73</x:v>
      </x:c>
      <x:c r="N189" s="83" t="str">
        <x:v>일부 구현은 확인되나 실장비 연동, Timeout/Alarm/Recovery, 저장·복원 또는 고객 수용시험 증빙이 부족</x:v>
      </x:c>
    </x:row>
    <x:row r="190" ht="42" customHeight="1">
      <x:c r="A190" s="83" t="str">
        <x:v>AM-013</x:v>
      </x:c>
      <x:c r="B190" s="83" t="str">
        <x:v>운전 모드 제어</x:v>
      </x:c>
      <x:c r="C190" s="83" t="n">
        <x:v>61</x:v>
      </x:c>
      <x:c r="D190" s="83" t="str">
        <x:v>Sequence</x:v>
      </x:c>
      <x:c r="E190" s="83" t="str">
        <x:v>Recovery Sequence - 재시작 구현</x:v>
      </x:c>
      <x:c r="F190" s="83" t="str">
        <x:v>05-04</x:v>
      </x:c>
      <x:c r="G190" s="83" t="str">
        <x:v>보호윈도우 교체 Sequence</x:v>
      </x:c>
      <x:c r="H190" s="83" t="str">
        <x:v>E-SEQUENCE-STOP</x:v>
      </x:c>
      <x:c r="I190" s="83" t="str">
        <x:v>Drilling.Common/Station/CStationProcess.cs</x:v>
      </x:c>
      <x:c r="J190" s="83" t="str">
        <x:v>CStationProcess</x:v>
      </x:c>
      <x:c r="K190" s="83" t="str">
        <x:v>ProcessReset</x:v>
      </x:c>
      <x:c r="L190" s="83" t="str">
        <x:v>부분 반영</x:v>
      </x:c>
      <x:c r="M190" s="84" t="n">
        <x:v>0.73</x:v>
      </x:c>
      <x:c r="N190" s="83" t="str">
        <x:v>일부 구현은 확인되나 실장비 연동, Timeout/Alarm/Recovery, 저장·복원 또는 고객 수용시험 증빙이 부족</x:v>
      </x:c>
    </x:row>
    <x:row r="191" ht="42" customHeight="1">
      <x:c r="A191" s="83" t="str">
        <x:v>AM-013</x:v>
      </x:c>
      <x:c r="B191" s="83" t="str">
        <x:v>운전 모드 제어</x:v>
      </x:c>
      <x:c r="C191" s="83" t="n">
        <x:v>62</x:v>
      </x:c>
      <x:c r="D191" s="83" t="str">
        <x:v>Sequence</x:v>
      </x:c>
      <x:c r="E191" s="83" t="str">
        <x:v>Recovery Sequence - 이어서 시작 구현</x:v>
      </x:c>
      <x:c r="F191" s="83" t="str">
        <x:v>05-04</x:v>
      </x:c>
      <x:c r="G191" s="83" t="str">
        <x:v>보호윈도우 교체 Sequence</x:v>
      </x:c>
      <x:c r="H191" s="83" t="str">
        <x:v>E-SEQUENCE-STOP</x:v>
      </x:c>
      <x:c r="I191" s="83" t="str">
        <x:v>Drilling.Common/Station/CStationProcess.cs</x:v>
      </x:c>
      <x:c r="J191" s="83" t="str">
        <x:v>CStationProcess</x:v>
      </x:c>
      <x:c r="K191" s="83" t="str">
        <x:v>ProcessReset</x:v>
      </x:c>
      <x:c r="L191" s="83" t="str">
        <x:v>부분 반영</x:v>
      </x:c>
      <x:c r="M191" s="84" t="n">
        <x:v>0.73</x:v>
      </x:c>
      <x:c r="N191" s="83" t="str">
        <x:v>일부 구현은 확인되나 실장비 연동, Timeout/Alarm/Recovery, 저장·복원 또는 고객 수용시험 증빙이 부족</x:v>
      </x:c>
    </x:row>
    <x:row r="192" ht="42" customHeight="1">
      <x:c r="A192" s="83" t="str">
        <x:v>AM-014</x:v>
      </x:c>
      <x:c r="B192" s="83" t="str">
        <x:v>자동 Job Change 기능</x:v>
      </x:c>
      <x:c r="C192" s="83" t="n">
        <x:v>93</x:v>
      </x:c>
      <x:c r="D192" s="83" t="str">
        <x:v>기능</x:v>
      </x:c>
      <x:c r="E192" s="83" t="str">
        <x:v>Recipe 목록 및 관리 기능 구현</x:v>
      </x:c>
      <x:c r="F192" s="83" t="str">
        <x:v>05-05</x:v>
      </x:c>
      <x:c r="G192" s="83" t="str">
        <x:v>Auto Job Change</x:v>
      </x:c>
      <x:c r="H192" s="83" t="str">
        <x:v>E-RECIPE-FILE</x:v>
      </x:c>
      <x:c r="I192" s="83" t="str">
        <x:v>Drilling.File/JHMI/CJhmiRecipeFile.cs</x:v>
      </x:c>
      <x:c r="J192" s="83" t="str">
        <x:v>CJhmiRecipeFile</x:v>
      </x:c>
      <x:c r="K192" s="83" t="str">
        <x:v>Save</x:v>
      </x:c>
      <x:c r="L192" s="83" t="str">
        <x:v>미반영</x:v>
      </x:c>
      <x:c r="M192" s="84" t="n">
        <x:v>0.47</x:v>
      </x:c>
      <x:c r="N192" s="83" t="str">
        <x:v>전용 Driver/Sequence/UI/데이터 모델의 직접 구현 근거가 없어 신규 구현과 단위·통합·실장비 시험이 필요</x:v>
      </x:c>
    </x:row>
    <x:row r="193" ht="42" customHeight="1">
      <x:c r="A193" s="83" t="str">
        <x:v>AM-014</x:v>
      </x:c>
      <x:c r="B193" s="83" t="str">
        <x:v>자동 Job Change 기능</x:v>
      </x:c>
      <x:c r="C193" s="83" t="n">
        <x:v>118</x:v>
      </x:c>
      <x:c r="D193" s="83" t="str">
        <x:v>기능</x:v>
      </x:c>
      <x:c r="E193" s="83" t="str">
        <x:v>Auto Job Change - Recipe 자동 갱신 구현</x:v>
      </x:c>
      <x:c r="F193" s="83" t="str">
        <x:v>05-05</x:v>
      </x:c>
      <x:c r="G193" s="83" t="str">
        <x:v>Auto Job Change</x:v>
      </x:c>
      <x:c r="H193" s="83" t="str">
        <x:v>E-NO-JOBCHANGE</x:v>
      </x:c>
      <x:c r="I193" s="83" t="str">
        <x:v>-</x:v>
      </x:c>
      <x:c r="J193" s="83" t="str">
        <x:v>-</x:v>
      </x:c>
      <x:c r="K193" s="83" t="str">
        <x:v>Auto Job Change</x:v>
      </x:c>
      <x:c r="L193" s="83" t="str">
        <x:v>미반영</x:v>
      </x:c>
      <x:c r="M193" s="84" t="n">
        <x:v>0.47</x:v>
      </x:c>
      <x:c r="N193" s="83" t="str">
        <x:v>전용 Driver/Sequence/UI/데이터 모델의 직접 구현 근거가 없어 신규 구현과 단위·통합·실장비 시험이 필요</x:v>
      </x:c>
    </x:row>
    <x:row r="194" ht="42" customHeight="1">
      <x:c r="A194" s="83" t="str">
        <x:v>AM-014</x:v>
      </x:c>
      <x:c r="B194" s="83" t="str">
        <x:v>자동 Job Change 기능</x:v>
      </x:c>
      <x:c r="C194" s="83" t="n">
        <x:v>119</x:v>
      </x:c>
      <x:c r="D194" s="83" t="str">
        <x:v>기능</x:v>
      </x:c>
      <x:c r="E194" s="83" t="str">
        <x:v>Auto Job Change - Stage 자동 갱신 구현</x:v>
      </x:c>
      <x:c r="F194" s="83" t="str">
        <x:v>05-05</x:v>
      </x:c>
      <x:c r="G194" s="83" t="str">
        <x:v>Auto Job Change</x:v>
      </x:c>
      <x:c r="H194" s="83" t="str">
        <x:v>E-NO-JOBCHANGE</x:v>
      </x:c>
      <x:c r="I194" s="83" t="str">
        <x:v>-</x:v>
      </x:c>
      <x:c r="J194" s="83" t="str">
        <x:v>-</x:v>
      </x:c>
      <x:c r="K194" s="83" t="str">
        <x:v>Auto Job Change</x:v>
      </x:c>
      <x:c r="L194" s="83" t="str">
        <x:v>미반영</x:v>
      </x:c>
      <x:c r="M194" s="84" t="n">
        <x:v>0.47</x:v>
      </x:c>
      <x:c r="N194" s="83" t="str">
        <x:v>전용 Driver/Sequence/UI/데이터 모델의 직접 구현 근거가 없어 신규 구현과 단위·통합·실장비 시험이 필요</x:v>
      </x:c>
    </x:row>
    <x:row r="195" ht="42" customHeight="1">
      <x:c r="A195" s="83" t="str">
        <x:v>AM-014</x:v>
      </x:c>
      <x:c r="B195" s="83" t="str">
        <x:v>자동 Job Change 기능</x:v>
      </x:c>
      <x:c r="C195" s="83" t="n">
        <x:v>120</x:v>
      </x:c>
      <x:c r="D195" s="83" t="str">
        <x:v>기능</x:v>
      </x:c>
      <x:c r="E195" s="83" t="str">
        <x:v>Auto Job Change - Vision Recipe 자동 갱신 구현</x:v>
      </x:c>
      <x:c r="F195" s="83" t="str">
        <x:v>05-05</x:v>
      </x:c>
      <x:c r="G195" s="83" t="str">
        <x:v>Auto Job Change</x:v>
      </x:c>
      <x:c r="H195" s="83" t="str">
        <x:v>E-NO-JOBCHANGE</x:v>
      </x:c>
      <x:c r="I195" s="83" t="str">
        <x:v>-</x:v>
      </x:c>
      <x:c r="J195" s="83" t="str">
        <x:v>-</x:v>
      </x:c>
      <x:c r="K195" s="83" t="str">
        <x:v>Auto Job Change</x:v>
      </x:c>
      <x:c r="L195" s="83" t="str">
        <x:v>미반영</x:v>
      </x:c>
      <x:c r="M195" s="84" t="n">
        <x:v>0.47</x:v>
      </x:c>
      <x:c r="N195" s="83" t="str">
        <x:v>전용 Driver/Sequence/UI/데이터 모델의 직접 구현 근거가 없어 신규 구현과 단위·통합·실장비 시험이 필요</x:v>
      </x:c>
    </x:row>
    <x:row r="196" ht="42" customHeight="1">
      <x:c r="A196" s="83" t="str">
        <x:v>AM-015</x:v>
      </x:c>
      <x:c r="B196" s="83" t="str">
        <x:v>Interface 초기화</x:v>
      </x:c>
      <x:c r="C196" s="83" t="n">
        <x:v>23</x:v>
      </x:c>
      <x:c r="D196" s="83" t="str">
        <x:v>통신</x:v>
      </x:c>
      <x:c r="E196" s="83" t="str">
        <x:v>Socket 통신 기능 구현</x:v>
      </x:c>
      <x:c r="F196" s="83" t="str">
        <x:v>03-07</x:v>
      </x:c>
      <x:c r="G196" s="83" t="str">
        <x:v>공통 Timeout·재연결 정책</x:v>
      </x:c>
      <x:c r="H196" s="83" t="str">
        <x:v>E-SOCKET</x:v>
      </x:c>
      <x:c r="I196" s="83" t="str">
        <x:v>Drilling.Common/Interface/Socket/CSocketComm.cs</x:v>
      </x:c>
      <x:c r="J196" s="83" t="str">
        <x:v>CSocketComm</x:v>
      </x:c>
      <x:c r="K196" s="83" t="str">
        <x:v>Connect</x:v>
      </x:c>
      <x:c r="L196" s="83" t="str">
        <x:v>부분 반영</x:v>
      </x:c>
      <x:c r="M196" s="84" t="n">
        <x:v>0.78</x:v>
      </x:c>
      <x:c r="N196" s="83" t="str">
        <x:v>일부 구현은 확인되나 실장비 연동, Timeout/Alarm/Recovery, 저장·복원 또는 고객 수용시험 증빙이 부족</x:v>
      </x:c>
    </x:row>
    <x:row r="197" ht="42" customHeight="1">
      <x:c r="A197" s="83" t="str">
        <x:v>AM-015</x:v>
      </x:c>
      <x:c r="B197" s="83" t="str">
        <x:v>Interface 초기화</x:v>
      </x:c>
      <x:c r="C197" s="83" t="n">
        <x:v>23</x:v>
      </x:c>
      <x:c r="D197" s="83" t="str">
        <x:v>통신</x:v>
      </x:c>
      <x:c r="E197" s="83" t="str">
        <x:v>Socket 통신 기능 구현</x:v>
      </x:c>
      <x:c r="F197" s="83" t="str">
        <x:v>10-02</x:v>
      </x:c>
      <x:c r="G197" s="83" t="str">
        <x:v>Alarm·Reset·Recovery</x:v>
      </x:c>
      <x:c r="H197" s="83" t="str">
        <x:v>E-SOCKET</x:v>
      </x:c>
      <x:c r="I197" s="83" t="str">
        <x:v>Drilling.Common/Interface/Socket/CSocketComm.cs</x:v>
      </x:c>
      <x:c r="J197" s="83" t="str">
        <x:v>CSocketComm</x:v>
      </x:c>
      <x:c r="K197" s="83" t="str">
        <x:v>Connect</x:v>
      </x:c>
      <x:c r="L197" s="83" t="str">
        <x:v>부분 반영</x:v>
      </x:c>
      <x:c r="M197" s="84" t="n">
        <x:v>0.78</x:v>
      </x:c>
      <x:c r="N197" s="83" t="str">
        <x:v>일부 구현은 확인되나 실장비 연동, Timeout/Alarm/Recovery, 저장·복원 또는 고객 수용시험 증빙이 부족</x:v>
      </x:c>
    </x:row>
    <x:row r="198" ht="42" customHeight="1">
      <x:c r="A198" s="83" t="str">
        <x:v>AM-015</x:v>
      </x:c>
      <x:c r="B198" s="83" t="str">
        <x:v>Interface 초기화</x:v>
      </x:c>
      <x:c r="C198" s="83" t="n">
        <x:v>24</x:v>
      </x:c>
      <x:c r="D198" s="83" t="str">
        <x:v>통신</x:v>
      </x:c>
      <x:c r="E198" s="83" t="str">
        <x:v>PLC(Melsec) 통신 기능 구현</x:v>
      </x:c>
      <x:c r="F198" s="83" t="str">
        <x:v>03-07</x:v>
      </x:c>
      <x:c r="G198" s="83" t="str">
        <x:v>공통 Timeout·재연결 정책</x:v>
      </x:c>
      <x:c r="H198" s="83" t="str">
        <x:v>E-PLC</x:v>
      </x:c>
      <x:c r="I198" s="83" t="str">
        <x:v>Drilling.Common/Interface/Melsec/CMelsec.cs</x:v>
      </x:c>
      <x:c r="J198" s="83" t="str">
        <x:v>CMelsec</x:v>
      </x:c>
      <x:c r="K198" s="83" t="str">
        <x:v>QueueWriteBit</x:v>
      </x:c>
      <x:c r="L198" s="83" t="str">
        <x:v>부분 반영</x:v>
      </x:c>
      <x:c r="M198" s="84" t="n">
        <x:v>0.78</x:v>
      </x:c>
      <x:c r="N198" s="83" t="str">
        <x:v>일부 구현은 확인되나 실장비 연동, Timeout/Alarm/Recovery, 저장·복원 또는 고객 수용시험 증빙이 부족</x:v>
      </x:c>
    </x:row>
    <x:row r="199" ht="42" customHeight="1">
      <x:c r="A199" s="83" t="str">
        <x:v>AM-015</x:v>
      </x:c>
      <x:c r="B199" s="83" t="str">
        <x:v>Interface 초기화</x:v>
      </x:c>
      <x:c r="C199" s="83" t="n">
        <x:v>24</x:v>
      </x:c>
      <x:c r="D199" s="83" t="str">
        <x:v>통신</x:v>
      </x:c>
      <x:c r="E199" s="83" t="str">
        <x:v>PLC(Melsec) 통신 기능 구현</x:v>
      </x:c>
      <x:c r="F199" s="83" t="str">
        <x:v>10-02</x:v>
      </x:c>
      <x:c r="G199" s="83" t="str">
        <x:v>Alarm·Reset·Recovery</x:v>
      </x:c>
      <x:c r="H199" s="83" t="str">
        <x:v>E-PLC</x:v>
      </x:c>
      <x:c r="I199" s="83" t="str">
        <x:v>Drilling.Common/Interface/Melsec/CMelsec.cs</x:v>
      </x:c>
      <x:c r="J199" s="83" t="str">
        <x:v>CMelsec</x:v>
      </x:c>
      <x:c r="K199" s="83" t="str">
        <x:v>QueueWriteBit</x:v>
      </x:c>
      <x:c r="L199" s="83" t="str">
        <x:v>부분 반영</x:v>
      </x:c>
      <x:c r="M199" s="84" t="n">
        <x:v>0.78</x:v>
      </x:c>
      <x:c r="N199" s="83" t="str">
        <x:v>일부 구현은 확인되나 실장비 연동, Timeout/Alarm/Recovery, 저장·복원 또는 고객 수용시험 증빙이 부족</x:v>
      </x:c>
    </x:row>
    <x:row r="200" ht="42" customHeight="1">
      <x:c r="A200" s="83" t="str">
        <x:v>AM-015</x:v>
      </x:c>
      <x:c r="B200" s="83" t="str">
        <x:v>Interface 초기화</x:v>
      </x:c>
      <x:c r="C200" s="83" t="n">
        <x:v>34</x:v>
      </x:c>
      <x:c r="D200" s="83" t="str">
        <x:v>통신</x:v>
      </x:c>
      <x:c r="E200" s="83" t="str">
        <x:v>Automation1 연동 기능 구현</x:v>
      </x:c>
      <x:c r="F200" s="83" t="str">
        <x:v>03-07</x:v>
      </x:c>
      <x:c r="G200" s="83" t="str">
        <x:v>공통 Timeout·재연결 정책</x:v>
      </x:c>
      <x:c r="H200" s="83" t="str">
        <x:v>E-AUTOMATION</x:v>
      </x:c>
      <x:c r="I200" s="83" t="str">
        <x:v>Drilling.Common/Interface/Automation1/CAutomation1Comm.cs</x:v>
      </x:c>
      <x:c r="J200" s="83" t="str">
        <x:v>CAutomation1Comm</x:v>
      </x:c>
      <x:c r="K200" s="83" t="str">
        <x:v>Execute</x:v>
      </x:c>
      <x:c r="L200" s="83" t="str">
        <x:v>부분 반영</x:v>
      </x:c>
      <x:c r="M200" s="84" t="n">
        <x:v>0.78</x:v>
      </x:c>
      <x:c r="N200" s="83" t="str">
        <x:v>일부 구현은 확인되나 실장비 연동, Timeout/Alarm/Recovery, 저장·복원 또는 고객 수용시험 증빙이 부족</x:v>
      </x:c>
    </x:row>
    <x:row r="201" ht="42" customHeight="1">
      <x:c r="A201" s="83" t="str">
        <x:v>AM-015</x:v>
      </x:c>
      <x:c r="B201" s="83" t="str">
        <x:v>Interface 초기화</x:v>
      </x:c>
      <x:c r="C201" s="83" t="n">
        <x:v>34</x:v>
      </x:c>
      <x:c r="D201" s="83" t="str">
        <x:v>통신</x:v>
      </x:c>
      <x:c r="E201" s="83" t="str">
        <x:v>Automation1 연동 기능 구현</x:v>
      </x:c>
      <x:c r="F201" s="83" t="str">
        <x:v>10-02</x:v>
      </x:c>
      <x:c r="G201" s="83" t="str">
        <x:v>Alarm·Reset·Recovery</x:v>
      </x:c>
      <x:c r="H201" s="83" t="str">
        <x:v>E-AUTOMATION</x:v>
      </x:c>
      <x:c r="I201" s="83" t="str">
        <x:v>Drilling.Common/Interface/Automation1/CAutomation1Comm.cs</x:v>
      </x:c>
      <x:c r="J201" s="83" t="str">
        <x:v>CAutomation1Comm</x:v>
      </x:c>
      <x:c r="K201" s="83" t="str">
        <x:v>Execute</x:v>
      </x:c>
      <x:c r="L201" s="83" t="str">
        <x:v>부분 반영</x:v>
      </x:c>
      <x:c r="M201" s="84" t="n">
        <x:v>0.78</x:v>
      </x:c>
      <x:c r="N201" s="83" t="str">
        <x:v>일부 구현은 확인되나 실장비 연동, Timeout/Alarm/Recovery, 저장·복원 또는 고객 수용시험 증빙이 부족</x:v>
      </x:c>
    </x:row>
    <x:row r="202" ht="42" customHeight="1">
      <x:c r="A202" s="83" t="str">
        <x:v>AM-015</x:v>
      </x:c>
      <x:c r="B202" s="83" t="str">
        <x:v>Interface 초기화</x:v>
      </x:c>
      <x:c r="C202" s="83" t="n">
        <x:v>67</x:v>
      </x:c>
      <x:c r="D202" s="83" t="str">
        <x:v>Alarm</x:v>
      </x:c>
      <x:c r="E202" s="83" t="str">
        <x:v>Alarm 발생/해제/Reset 기능 구현</x:v>
      </x:c>
      <x:c r="F202" s="83" t="str">
        <x:v>03-07</x:v>
      </x:c>
      <x:c r="G202" s="83" t="str">
        <x:v>공통 Timeout·재연결 정책</x:v>
      </x:c>
      <x:c r="H202" s="83" t="str">
        <x:v>E-ALARM</x:v>
      </x:c>
      <x:c r="I202" s="83" t="str">
        <x:v>Drilling.Common/Alarm/CAlarmManager.cs</x:v>
      </x:c>
      <x:c r="J202" s="83" t="str">
        <x:v>CAlarmManager</x:v>
      </x:c>
      <x:c r="K202" s="83" t="str">
        <x:v>Evaluate</x:v>
      </x:c>
      <x:c r="L202" s="83" t="str">
        <x:v>부분 반영</x:v>
      </x:c>
      <x:c r="M202" s="84" t="n">
        <x:v>0.78</x:v>
      </x:c>
      <x:c r="N202" s="83" t="str">
        <x:v>일부 구현은 확인되나 실장비 연동, Timeout/Alarm/Recovery, 저장·복원 또는 고객 수용시험 증빙이 부족</x:v>
      </x:c>
    </x:row>
    <x:row r="203" ht="42" customHeight="1">
      <x:c r="A203" s="83" t="str">
        <x:v>AM-015</x:v>
      </x:c>
      <x:c r="B203" s="83" t="str">
        <x:v>Interface 초기화</x:v>
      </x:c>
      <x:c r="C203" s="83" t="n">
        <x:v>67</x:v>
      </x:c>
      <x:c r="D203" s="83" t="str">
        <x:v>Alarm</x:v>
      </x:c>
      <x:c r="E203" s="83" t="str">
        <x:v>Alarm 발생/해제/Reset 기능 구현</x:v>
      </x:c>
      <x:c r="F203" s="83" t="str">
        <x:v>10-02</x:v>
      </x:c>
      <x:c r="G203" s="83" t="str">
        <x:v>Alarm·Reset·Recovery</x:v>
      </x:c>
      <x:c r="H203" s="83" t="str">
        <x:v>E-ALARM</x:v>
      </x:c>
      <x:c r="I203" s="83" t="str">
        <x:v>Drilling.Common/Alarm/CAlarmManager.cs</x:v>
      </x:c>
      <x:c r="J203" s="83" t="str">
        <x:v>CAlarmManager</x:v>
      </x:c>
      <x:c r="K203" s="83" t="str">
        <x:v>Evaluate</x:v>
      </x:c>
      <x:c r="L203" s="83" t="str">
        <x:v>부분 반영</x:v>
      </x:c>
      <x:c r="M203" s="84" t="n">
        <x:v>0.78</x:v>
      </x:c>
      <x:c r="N203" s="83" t="str">
        <x:v>일부 구현은 확인되나 실장비 연동, Timeout/Alarm/Recovery, 저장·복원 또는 고객 수용시험 증빙이 부족</x:v>
      </x:c>
    </x:row>
    <x:row r="204" ht="42" customHeight="1">
      <x:c r="A204" s="83" t="str">
        <x:v>AM-016</x:v>
      </x:c>
      <x:c r="B204" s="83" t="str">
        <x:v>주요 운영 환경 설정</x:v>
      </x:c>
      <x:c r="C204" s="83" t="n">
        <x:v>10</x:v>
      </x:c>
      <x:c r="D204" s="83" t="str">
        <x:v>UI</x:v>
      </x:c>
      <x:c r="E204" s="83" t="str">
        <x:v>Config 화면 - 파일 관리 구현</x:v>
      </x:c>
      <x:c r="F204" s="83" t="str">
        <x:v>02-04</x:v>
      </x:c>
      <x:c r="G204" s="83" t="str">
        <x:v>Setting·Alarm·History 화면</x:v>
      </x:c>
      <x:c r="H204" s="83" t="str">
        <x:v>E-UI-SETTING</x:v>
      </x:c>
      <x:c r="I204" s="83" t="str">
        <x:v>Drilling.UI/Menu/Menus/CMenuSetting.cs</x:v>
      </x:c>
      <x:c r="J204" s="83" t="str">
        <x:v>CMenuSetting</x:v>
      </x:c>
      <x:c r="K204" s="83" t="str">
        <x:v>ConnectInterface</x:v>
      </x:c>
      <x:c r="L204" s="83" t="str">
        <x:v>부분 반영</x:v>
      </x:c>
      <x:c r="M204" s="84" t="n">
        <x:v>0.61</x:v>
      </x:c>
      <x:c r="N204" s="83" t="str">
        <x:v>일부 구현은 확인되나 실장비 연동, Timeout/Alarm/Recovery, 저장·복원 또는 고객 수용시험 증빙이 부족</x:v>
      </x:c>
    </x:row>
    <x:row r="205" ht="42" customHeight="1">
      <x:c r="A205" s="83" t="str">
        <x:v>AM-016</x:v>
      </x:c>
      <x:c r="B205" s="83" t="str">
        <x:v>주요 운영 환경 설정</x:v>
      </x:c>
      <x:c r="C205" s="83" t="n">
        <x:v>10</x:v>
      </x:c>
      <x:c r="D205" s="83" t="str">
        <x:v>UI</x:v>
      </x:c>
      <x:c r="E205" s="83" t="str">
        <x:v>Config 화면 - 파일 관리 구현</x:v>
      </x:c>
      <x:c r="F205" s="83" t="str">
        <x:v>04-06</x:v>
      </x:c>
      <x:c r="G205" s="83" t="str">
        <x:v>설정 백업·복구·보존</x:v>
      </x:c>
      <x:c r="H205" s="83" t="str">
        <x:v>E-UI-SETTING</x:v>
      </x:c>
      <x:c r="I205" s="83" t="str">
        <x:v>Drilling.UI/Menu/Menus/CMenuSetting.cs</x:v>
      </x:c>
      <x:c r="J205" s="83" t="str">
        <x:v>CMenuSetting</x:v>
      </x:c>
      <x:c r="K205" s="83" t="str">
        <x:v>ConnectInterface</x:v>
      </x:c>
      <x:c r="L205" s="83" t="str">
        <x:v>부분 반영</x:v>
      </x:c>
      <x:c r="M205" s="84" t="n">
        <x:v>0.61</x:v>
      </x:c>
      <x:c r="N205" s="83" t="str">
        <x:v>일부 구현은 확인되나 실장비 연동, Timeout/Alarm/Recovery, 저장·복원 또는 고객 수용시험 증빙이 부족</x:v>
      </x:c>
    </x:row>
    <x:row r="206" ht="42" customHeight="1">
      <x:c r="A206" s="83" t="str">
        <x:v>AM-016</x:v>
      </x:c>
      <x:c r="B206" s="83" t="str">
        <x:v>주요 운영 환경 설정</x:v>
      </x:c>
      <x:c r="C206" s="83" t="n">
        <x:v>11</x:v>
      </x:c>
      <x:c r="D206" s="83" t="str">
        <x:v>UI</x:v>
      </x:c>
      <x:c r="E206" s="83" t="str">
        <x:v>Config 화면 - Parameter 관리 화면 구현</x:v>
      </x:c>
      <x:c r="F206" s="83" t="str">
        <x:v>02-04</x:v>
      </x:c>
      <x:c r="G206" s="83" t="str">
        <x:v>Setting·Alarm·History 화면</x:v>
      </x:c>
      <x:c r="H206" s="83" t="str">
        <x:v>E-UI-SETTING</x:v>
      </x:c>
      <x:c r="I206" s="83" t="str">
        <x:v>Drilling.UI/Menu/Menus/CMenuSetting.cs</x:v>
      </x:c>
      <x:c r="J206" s="83" t="str">
        <x:v>CMenuSetting</x:v>
      </x:c>
      <x:c r="K206" s="83" t="str">
        <x:v>ConnectInterface</x:v>
      </x:c>
      <x:c r="L206" s="83" t="str">
        <x:v>부분 반영</x:v>
      </x:c>
      <x:c r="M206" s="84" t="n">
        <x:v>0.61</x:v>
      </x:c>
      <x:c r="N206" s="83" t="str">
        <x:v>일부 구현은 확인되나 실장비 연동, Timeout/Alarm/Recovery, 저장·복원 또는 고객 수용시험 증빙이 부족</x:v>
      </x:c>
    </x:row>
    <x:row r="207" ht="42" customHeight="1">
      <x:c r="A207" s="83" t="str">
        <x:v>AM-016</x:v>
      </x:c>
      <x:c r="B207" s="83" t="str">
        <x:v>주요 운영 환경 설정</x:v>
      </x:c>
      <x:c r="C207" s="83" t="n">
        <x:v>11</x:v>
      </x:c>
      <x:c r="D207" s="83" t="str">
        <x:v>UI</x:v>
      </x:c>
      <x:c r="E207" s="83" t="str">
        <x:v>Config 화면 - Parameter 관리 화면 구현</x:v>
      </x:c>
      <x:c r="F207" s="83" t="str">
        <x:v>04-06</x:v>
      </x:c>
      <x:c r="G207" s="83" t="str">
        <x:v>설정 백업·복구·보존</x:v>
      </x:c>
      <x:c r="H207" s="83" t="str">
        <x:v>E-UI-SETTING</x:v>
      </x:c>
      <x:c r="I207" s="83" t="str">
        <x:v>Drilling.UI/Menu/Menus/CMenuSetting.cs</x:v>
      </x:c>
      <x:c r="J207" s="83" t="str">
        <x:v>CMenuSetting</x:v>
      </x:c>
      <x:c r="K207" s="83" t="str">
        <x:v>ConnectInterface</x:v>
      </x:c>
      <x:c r="L207" s="83" t="str">
        <x:v>부분 반영</x:v>
      </x:c>
      <x:c r="M207" s="84" t="n">
        <x:v>0.61</x:v>
      </x:c>
      <x:c r="N207" s="83" t="str">
        <x:v>일부 구현은 확인되나 실장비 연동, Timeout/Alarm/Recovery, 저장·복원 또는 고객 수용시험 증빙이 부족</x:v>
      </x:c>
    </x:row>
    <x:row r="208" ht="42" customHeight="1">
      <x:c r="A208" s="83" t="str">
        <x:v>AM-016</x:v>
      </x:c>
      <x:c r="B208" s="83" t="str">
        <x:v>주요 운영 환경 설정</x:v>
      </x:c>
      <x:c r="C208" s="83" t="n">
        <x:v>41</x:v>
      </x:c>
      <x:c r="D208" s="83" t="str">
        <x:v>File/Data</x:v>
      </x:c>
      <x:c r="E208" s="83" t="str">
        <x:v>JHMI_SETTING Config 항목 구조 확정</x:v>
      </x:c>
      <x:c r="F208" s="83" t="str">
        <x:v>02-04</x:v>
      </x:c>
      <x:c r="G208" s="83" t="str">
        <x:v>Setting·Alarm·History 화면</x:v>
      </x:c>
      <x:c r="H208" s="83" t="str">
        <x:v>E-SETTING-FILE</x:v>
      </x:c>
      <x:c r="I208" s="83" t="str">
        <x:v>Drilling.File/JHMI/CSettingFile.cs</x:v>
      </x:c>
      <x:c r="J208" s="83" t="str">
        <x:v>CSettingFile</x:v>
      </x:c>
      <x:c r="K208" s="83" t="str">
        <x:v>Save</x:v>
      </x:c>
      <x:c r="L208" s="83" t="str">
        <x:v>부분 반영</x:v>
      </x:c>
      <x:c r="M208" s="84" t="n">
        <x:v>0.61</x:v>
      </x:c>
      <x:c r="N208" s="83" t="str">
        <x:v>일부 구현은 확인되나 실장비 연동, Timeout/Alarm/Recovery, 저장·복원 또는 고객 수용시험 증빙이 부족</x:v>
      </x:c>
    </x:row>
    <x:row r="209" ht="42" customHeight="1">
      <x:c r="A209" s="83" t="str">
        <x:v>AM-016</x:v>
      </x:c>
      <x:c r="B209" s="83" t="str">
        <x:v>주요 운영 환경 설정</x:v>
      </x:c>
      <x:c r="C209" s="83" t="n">
        <x:v>41</x:v>
      </x:c>
      <x:c r="D209" s="83" t="str">
        <x:v>File/Data</x:v>
      </x:c>
      <x:c r="E209" s="83" t="str">
        <x:v>JHMI_SETTING Config 항목 구조 확정</x:v>
      </x:c>
      <x:c r="F209" s="83" t="str">
        <x:v>04-06</x:v>
      </x:c>
      <x:c r="G209" s="83" t="str">
        <x:v>설정 백업·복구·보존</x:v>
      </x:c>
      <x:c r="H209" s="83" t="str">
        <x:v>E-SETTING-FILE</x:v>
      </x:c>
      <x:c r="I209" s="83" t="str">
        <x:v>Drilling.File/JHMI/CSettingFile.cs</x:v>
      </x:c>
      <x:c r="J209" s="83" t="str">
        <x:v>CSettingFile</x:v>
      </x:c>
      <x:c r="K209" s="83" t="str">
        <x:v>Save</x:v>
      </x:c>
      <x:c r="L209" s="83" t="str">
        <x:v>부분 반영</x:v>
      </x:c>
      <x:c r="M209" s="84" t="n">
        <x:v>0.61</x:v>
      </x:c>
      <x:c r="N209" s="83" t="str">
        <x:v>일부 구현은 확인되나 실장비 연동, Timeout/Alarm/Recovery, 저장·복원 또는 고객 수용시험 증빙이 부족</x:v>
      </x:c>
    </x:row>
    <x:row r="210" ht="42" customHeight="1">
      <x:c r="A210" s="83" t="str">
        <x:v>AM-016</x:v>
      </x:c>
      <x:c r="B210" s="83" t="str">
        <x:v>주요 운영 환경 설정</x:v>
      </x:c>
      <x:c r="C210" s="83" t="n">
        <x:v>100</x:v>
      </x:c>
      <x:c r="D210" s="83" t="str">
        <x:v>기능</x:v>
      </x:c>
      <x:c r="E210" s="83" t="str">
        <x:v>Config Parameter - 목록 확정</x:v>
      </x:c>
      <x:c r="F210" s="83" t="str">
        <x:v>02-04</x:v>
      </x:c>
      <x:c r="G210" s="83" t="str">
        <x:v>Setting·Alarm·History 화면</x:v>
      </x:c>
      <x:c r="H210" s="83" t="str">
        <x:v>E-SETTING-FILE</x:v>
      </x:c>
      <x:c r="I210" s="83" t="str">
        <x:v>Drilling.File/JHMI/CSettingFile.cs</x:v>
      </x:c>
      <x:c r="J210" s="83" t="str">
        <x:v>CSettingFile</x:v>
      </x:c>
      <x:c r="K210" s="83" t="str">
        <x:v>Save</x:v>
      </x:c>
      <x:c r="L210" s="83" t="str">
        <x:v>부분 반영</x:v>
      </x:c>
      <x:c r="M210" s="84" t="n">
        <x:v>0.61</x:v>
      </x:c>
      <x:c r="N210" s="83" t="str">
        <x:v>일부 구현은 확인되나 실장비 연동, Timeout/Alarm/Recovery, 저장·복원 또는 고객 수용시험 증빙이 부족</x:v>
      </x:c>
    </x:row>
    <x:row r="211" ht="42" customHeight="1">
      <x:c r="A211" s="83" t="str">
        <x:v>AM-016</x:v>
      </x:c>
      <x:c r="B211" s="83" t="str">
        <x:v>주요 운영 환경 설정</x:v>
      </x:c>
      <x:c r="C211" s="83" t="n">
        <x:v>100</x:v>
      </x:c>
      <x:c r="D211" s="83" t="str">
        <x:v>기능</x:v>
      </x:c>
      <x:c r="E211" s="83" t="str">
        <x:v>Config Parameter - 목록 확정</x:v>
      </x:c>
      <x:c r="F211" s="83" t="str">
        <x:v>04-06</x:v>
      </x:c>
      <x:c r="G211" s="83" t="str">
        <x:v>설정 백업·복구·보존</x:v>
      </x:c>
      <x:c r="H211" s="83" t="str">
        <x:v>E-SETTING-FILE</x:v>
      </x:c>
      <x:c r="I211" s="83" t="str">
        <x:v>Drilling.File/JHMI/CSettingFile.cs</x:v>
      </x:c>
      <x:c r="J211" s="83" t="str">
        <x:v>CSettingFile</x:v>
      </x:c>
      <x:c r="K211" s="83" t="str">
        <x:v>Save</x:v>
      </x:c>
      <x:c r="L211" s="83" t="str">
        <x:v>부분 반영</x:v>
      </x:c>
      <x:c r="M211" s="84" t="n">
        <x:v>0.61</x:v>
      </x:c>
      <x:c r="N211" s="83" t="str">
        <x:v>일부 구현은 확인되나 실장비 연동, Timeout/Alarm/Recovery, 저장·복원 또는 고객 수용시험 증빙이 부족</x:v>
      </x:c>
    </x:row>
    <x:row r="212" ht="42" customHeight="1">
      <x:c r="A212" s="83" t="str">
        <x:v>AM-016</x:v>
      </x:c>
      <x:c r="B212" s="83" t="str">
        <x:v>주요 운영 환경 설정</x:v>
      </x:c>
      <x:c r="C212" s="83" t="n">
        <x:v>101</x:v>
      </x:c>
      <x:c r="D212" s="83" t="str">
        <x:v>기능</x:v>
      </x:c>
      <x:c r="E212" s="83" t="str">
        <x:v>Config Parameter 수정·저장 기능 구현</x:v>
      </x:c>
      <x:c r="F212" s="83" t="str">
        <x:v>02-04</x:v>
      </x:c>
      <x:c r="G212" s="83" t="str">
        <x:v>Setting·Alarm·History 화면</x:v>
      </x:c>
      <x:c r="H212" s="83" t="str">
        <x:v>E-SETTING-FILE</x:v>
      </x:c>
      <x:c r="I212" s="83" t="str">
        <x:v>Drilling.File/JHMI/CSettingFile.cs</x:v>
      </x:c>
      <x:c r="J212" s="83" t="str">
        <x:v>CSettingFile</x:v>
      </x:c>
      <x:c r="K212" s="83" t="str">
        <x:v>Save</x:v>
      </x:c>
      <x:c r="L212" s="83" t="str">
        <x:v>부분 반영</x:v>
      </x:c>
      <x:c r="M212" s="84" t="n">
        <x:v>0.61</x:v>
      </x:c>
      <x:c r="N212" s="83" t="str">
        <x:v>일부 구현은 확인되나 실장비 연동, Timeout/Alarm/Recovery, 저장·복원 또는 고객 수용시험 증빙이 부족</x:v>
      </x:c>
    </x:row>
    <x:row r="213" ht="42" customHeight="1">
      <x:c r="A213" s="83" t="str">
        <x:v>AM-016</x:v>
      </x:c>
      <x:c r="B213" s="83" t="str">
        <x:v>주요 운영 환경 설정</x:v>
      </x:c>
      <x:c r="C213" s="83" t="n">
        <x:v>101</x:v>
      </x:c>
      <x:c r="D213" s="83" t="str">
        <x:v>기능</x:v>
      </x:c>
      <x:c r="E213" s="83" t="str">
        <x:v>Config Parameter 수정·저장 기능 구현</x:v>
      </x:c>
      <x:c r="F213" s="83" t="str">
        <x:v>04-06</x:v>
      </x:c>
      <x:c r="G213" s="83" t="str">
        <x:v>설정 백업·복구·보존</x:v>
      </x:c>
      <x:c r="H213" s="83" t="str">
        <x:v>E-SETTING-FILE</x:v>
      </x:c>
      <x:c r="I213" s="83" t="str">
        <x:v>Drilling.File/JHMI/CSettingFile.cs</x:v>
      </x:c>
      <x:c r="J213" s="83" t="str">
        <x:v>CSettingFile</x:v>
      </x:c>
      <x:c r="K213" s="83" t="str">
        <x:v>Save</x:v>
      </x:c>
      <x:c r="L213" s="83" t="str">
        <x:v>부분 반영</x:v>
      </x:c>
      <x:c r="M213" s="84" t="n">
        <x:v>0.61</x:v>
      </x:c>
      <x:c r="N213" s="83" t="str">
        <x:v>일부 구현은 확인되나 실장비 연동, Timeout/Alarm/Recovery, 저장·복원 또는 고객 수용시험 증빙이 부족</x:v>
      </x:c>
    </x:row>
    <x:row r="214" ht="42" customHeight="1">
      <x:c r="A214" s="83" t="str">
        <x:v>AM-016</x:v>
      </x:c>
      <x:c r="B214" s="83" t="str">
        <x:v>주요 운영 환경 설정</x:v>
      </x:c>
      <x:c r="C214" s="83" t="n">
        <x:v>112</x:v>
      </x:c>
      <x:c r="D214" s="83" t="str">
        <x:v>기능</x:v>
      </x:c>
      <x:c r="E214" s="83" t="str">
        <x:v>APC Offset 적용 구현</x:v>
      </x:c>
      <x:c r="F214" s="83" t="str">
        <x:v>02-04</x:v>
      </x:c>
      <x:c r="G214" s="83" t="str">
        <x:v>Setting·Alarm·History 화면</x:v>
      </x:c>
      <x:c r="H214" s="83" t="str">
        <x:v>E-APC-PLACEHOLDER</x:v>
      </x:c>
      <x:c r="I214" s="83" t="str">
        <x:v>Drilling.UI/Menu/Menus/CMenuCorrection.cs</x:v>
      </x:c>
      <x:c r="J214" s="83" t="str">
        <x:v>CMenuCorrection</x:v>
      </x:c>
      <x:c r="K214" s="83" t="str">
        <x:v>CreateApcIcrData</x:v>
      </x:c>
      <x:c r="L214" s="83" t="str">
        <x:v>부분 반영</x:v>
      </x:c>
      <x:c r="M214" s="84" t="n">
        <x:v>0.61</x:v>
      </x:c>
      <x:c r="N214" s="83" t="str">
        <x:v>일부 구현은 확인되나 실장비 연동, Timeout/Alarm/Recovery, 저장·복원 또는 고객 수용시험 증빙이 부족</x:v>
      </x:c>
    </x:row>
    <x:row r="215" ht="42" customHeight="1">
      <x:c r="A215" s="83" t="str">
        <x:v>AM-016</x:v>
      </x:c>
      <x:c r="B215" s="83" t="str">
        <x:v>주요 운영 환경 설정</x:v>
      </x:c>
      <x:c r="C215" s="83" t="n">
        <x:v>112</x:v>
      </x:c>
      <x:c r="D215" s="83" t="str">
        <x:v>기능</x:v>
      </x:c>
      <x:c r="E215" s="83" t="str">
        <x:v>APC Offset 적용 구현</x:v>
      </x:c>
      <x:c r="F215" s="83" t="str">
        <x:v>04-06</x:v>
      </x:c>
      <x:c r="G215" s="83" t="str">
        <x:v>설정 백업·복구·보존</x:v>
      </x:c>
      <x:c r="H215" s="83" t="str">
        <x:v>E-APC-PLACEHOLDER</x:v>
      </x:c>
      <x:c r="I215" s="83" t="str">
        <x:v>Drilling.UI/Menu/Menus/CMenuCorrection.cs</x:v>
      </x:c>
      <x:c r="J215" s="83" t="str">
        <x:v>CMenuCorrection</x:v>
      </x:c>
      <x:c r="K215" s="83" t="str">
        <x:v>CreateApcIcrData</x:v>
      </x:c>
      <x:c r="L215" s="83" t="str">
        <x:v>부분 반영</x:v>
      </x:c>
      <x:c r="M215" s="84" t="n">
        <x:v>0.61</x:v>
      </x:c>
      <x:c r="N215" s="83" t="str">
        <x:v>일부 구현은 확인되나 실장비 연동, Timeout/Alarm/Recovery, 저장·복원 또는 고객 수용시험 증빙이 부족</x:v>
      </x:c>
    </x:row>
    <x:row r="216" ht="42" customHeight="1">
      <x:c r="A216" s="83" t="str">
        <x:v>MM-001</x:v>
      </x:c>
      <x:c r="B216" s="83" t="str">
        <x:v>서보/구동부 상태 확인</x:v>
      </x:c>
      <x:c r="C216" s="83" t="n">
        <x:v>19</x:v>
      </x:c>
      <x:c r="D216" s="83" t="str">
        <x:v>UI</x:v>
      </x:c>
      <x:c r="E216" s="83" t="str">
        <x:v>Monitoring - Motor 및 I/O 화면 구현</x:v>
      </x:c>
      <x:c r="F216" s="83" t="str">
        <x:v>06-01</x:v>
      </x:c>
      <x:c r="G216" s="83" t="str">
        <x:v>Device Manual 명령</x:v>
      </x:c>
      <x:c r="H216" s="83" t="str">
        <x:v>E-UI-MONITOR</x:v>
      </x:c>
      <x:c r="I216" s="83" t="str">
        <x:v>Drilling.UI/Menu/Menus/CMenuMonitor.cs</x:v>
      </x:c>
      <x:c r="J216" s="83" t="str">
        <x:v>CMenuMonitor</x:v>
      </x:c>
      <x:c r="K216" s="83" t="str">
        <x:v>RefreshLiveData</x:v>
      </x:c>
      <x:c r="L216" s="83" t="str">
        <x:v>부분 반영</x:v>
      </x:c>
      <x:c r="M216" s="84" t="n">
        <x:v>0.73</x:v>
      </x:c>
      <x:c r="N216" s="83" t="str">
        <x:v>일부 구현은 확인되나 실장비 연동, Timeout/Alarm/Recovery, 저장·복원 또는 고객 수용시험 증빙이 부족</x:v>
      </x:c>
    </x:row>
    <x:row r="217" ht="42" customHeight="1">
      <x:c r="A217" s="83" t="str">
        <x:v>MM-001</x:v>
      </x:c>
      <x:c r="B217" s="83" t="str">
        <x:v>서보/구동부 상태 확인</x:v>
      </x:c>
      <x:c r="C217" s="83" t="n">
        <x:v>25</x:v>
      </x:c>
      <x:c r="D217" s="83" t="str">
        <x:v>통신</x:v>
      </x:c>
      <x:c r="E217" s="83" t="str">
        <x:v>XPS Motion Controller 연동 기능 구현</x:v>
      </x:c>
      <x:c r="F217" s="83" t="str">
        <x:v>06-01</x:v>
      </x:c>
      <x:c r="G217" s="83" t="str">
        <x:v>Device Manual 명령</x:v>
      </x:c>
      <x:c r="H217" s="83" t="str">
        <x:v>E-XPS</x:v>
      </x:c>
      <x:c r="I217" s="83" t="str">
        <x:v>Drilling.Common/Motion/XPS/CXpsMotion.cs</x:v>
      </x:c>
      <x:c r="J217" s="83" t="str">
        <x:v>CXpsMotion</x:v>
      </x:c>
      <x:c r="K217" s="83" t="str">
        <x:v>MoveAbs</x:v>
      </x:c>
      <x:c r="L217" s="83" t="str">
        <x:v>부분 반영</x:v>
      </x:c>
      <x:c r="M217" s="84" t="n">
        <x:v>0.73</x:v>
      </x:c>
      <x:c r="N217" s="83" t="str">
        <x:v>일부 구현은 확인되나 실장비 연동, Timeout/Alarm/Recovery, 저장·복원 또는 고객 수용시험 증빙이 부족</x:v>
      </x:c>
    </x:row>
    <x:row r="218" ht="42" customHeight="1">
      <x:c r="A218" s="83" t="str">
        <x:v>MM-001</x:v>
      </x:c>
      <x:c r="B218" s="83" t="str">
        <x:v>서보/구동부 상태 확인</x:v>
      </x:c>
      <x:c r="C218" s="83" t="n">
        <x:v>83</x:v>
      </x:c>
      <x:c r="D218" s="83" t="str">
        <x:v>기능</x:v>
      </x:c>
      <x:c r="E218" s="83" t="str">
        <x:v>Manual 화면 내 Stage 관련 기능 구현</x:v>
      </x:c>
      <x:c r="F218" s="83" t="str">
        <x:v>06-01</x:v>
      </x:c>
      <x:c r="G218" s="83" t="str">
        <x:v>Device Manual 명령</x:v>
      </x:c>
      <x:c r="H218" s="83" t="str">
        <x:v>E-UI-MANUAL</x:v>
      </x:c>
      <x:c r="I218" s="83" t="str">
        <x:v>Drilling.UI/Menu/Menus/CMenuManual.cs</x:v>
      </x:c>
      <x:c r="J218" s="83" t="str">
        <x:v>CMenuManual</x:v>
      </x:c>
      <x:c r="K218" s="83" t="str">
        <x:v>ExecuteManualOperation</x:v>
      </x:c>
      <x:c r="L218" s="83" t="str">
        <x:v>부분 반영</x:v>
      </x:c>
      <x:c r="M218" s="84" t="n">
        <x:v>0.73</x:v>
      </x:c>
      <x:c r="N218" s="83" t="str">
        <x:v>일부 구현은 확인되나 실장비 연동, Timeout/Alarm/Recovery, 저장·복원 또는 고객 수용시험 증빙이 부족</x:v>
      </x:c>
    </x:row>
    <x:row r="219" ht="42" customHeight="1">
      <x:c r="A219" s="83" t="str">
        <x:v>MM-001</x:v>
      </x:c>
      <x:c r="B219" s="83" t="str">
        <x:v>서보/구동부 상태 확인</x:v>
      </x:c>
      <x:c r="C219" s="83" t="n">
        <x:v>103</x:v>
      </x:c>
      <x:c r="D219" s="83" t="str">
        <x:v>기능</x:v>
      </x:c>
      <x:c r="E219" s="83" t="str">
        <x:v>Monitoring - BET 단위 동작 구현</x:v>
      </x:c>
      <x:c r="F219" s="83" t="str">
        <x:v>06-01</x:v>
      </x:c>
      <x:c r="G219" s="83" t="str">
        <x:v>Device Manual 명령</x:v>
      </x:c>
      <x:c r="H219" s="83" t="str">
        <x:v>E-BET</x:v>
      </x:c>
      <x:c r="I219" s="83" t="str">
        <x:v>Drilling.Common/Interface/Serial/CBeamExpander.cs</x:v>
      </x:c>
      <x:c r="J219" s="83" t="str">
        <x:v>CBeamExpander</x:v>
      </x:c>
      <x:c r="K219" s="83" t="str">
        <x:v>Execute</x:v>
      </x:c>
      <x:c r="L219" s="83" t="str">
        <x:v>부분 반영</x:v>
      </x:c>
      <x:c r="M219" s="84" t="n">
        <x:v>0.73</x:v>
      </x:c>
      <x:c r="N219" s="83" t="str">
        <x:v>일부 구현은 확인되나 실장비 연동, Timeout/Alarm/Recovery, 저장·복원 또는 고객 수용시험 증빙이 부족</x:v>
      </x:c>
    </x:row>
    <x:row r="220" ht="42" customHeight="1">
      <x:c r="A220" s="83" t="str">
        <x:v>MM-002</x:v>
      </x:c>
      <x:c r="B220" s="83" t="str">
        <x:v>구동부 기본 제어</x:v>
      </x:c>
      <x:c r="C220" s="83" t="n">
        <x:v>6</x:v>
      </x:c>
      <x:c r="D220" s="83" t="str">
        <x:v>UI</x:v>
      </x:c>
      <x:c r="E220" s="83" t="str">
        <x:v>Manual 화면 - Stage 화면 구현</x:v>
      </x:c>
      <x:c r="F220" s="83" t="str">
        <x:v>06-01</x:v>
      </x:c>
      <x:c r="G220" s="83" t="str">
        <x:v>Device Manual 명령</x:v>
      </x:c>
      <x:c r="H220" s="83" t="str">
        <x:v>E-UI-MANUAL</x:v>
      </x:c>
      <x:c r="I220" s="83" t="str">
        <x:v>Drilling.UI/Menu/Menus/CMenuManual.cs</x:v>
      </x:c>
      <x:c r="J220" s="83" t="str">
        <x:v>CMenuManual</x:v>
      </x:c>
      <x:c r="K220" s="83" t="str">
        <x:v>ExecuteManualOperation</x:v>
      </x:c>
      <x:c r="L220" s="83" t="str">
        <x:v>부분 반영</x:v>
      </x:c>
      <x:c r="M220" s="84" t="n">
        <x:v>0.72</x:v>
      </x:c>
      <x:c r="N220" s="83" t="str">
        <x:v>일부 구현은 확인되나 실장비 연동, Timeout/Alarm/Recovery, 저장·복원 또는 고객 수용시험 증빙이 부족</x:v>
      </x:c>
    </x:row>
    <x:row r="221" ht="42" customHeight="1">
      <x:c r="A221" s="83" t="str">
        <x:v>MM-002</x:v>
      </x:c>
      <x:c r="B221" s="83" t="str">
        <x:v>구동부 기본 제어</x:v>
      </x:c>
      <x:c r="C221" s="83" t="n">
        <x:v>19</x:v>
      </x:c>
      <x:c r="D221" s="83" t="str">
        <x:v>UI</x:v>
      </x:c>
      <x:c r="E221" s="83" t="str">
        <x:v>Monitoring - Motor 및 I/O 화면 구현</x:v>
      </x:c>
      <x:c r="F221" s="83" t="str">
        <x:v>06-01</x:v>
      </x:c>
      <x:c r="G221" s="83" t="str">
        <x:v>Device Manual 명령</x:v>
      </x:c>
      <x:c r="H221" s="83" t="str">
        <x:v>E-UI-MONITOR</x:v>
      </x:c>
      <x:c r="I221" s="83" t="str">
        <x:v>Drilling.UI/Menu/Menus/CMenuMonitor.cs</x:v>
      </x:c>
      <x:c r="J221" s="83" t="str">
        <x:v>CMenuMonitor</x:v>
      </x:c>
      <x:c r="K221" s="83" t="str">
        <x:v>RefreshLiveData</x:v>
      </x:c>
      <x:c r="L221" s="83" t="str">
        <x:v>부분 반영</x:v>
      </x:c>
      <x:c r="M221" s="84" t="n">
        <x:v>0.72</x:v>
      </x:c>
      <x:c r="N221" s="83" t="str">
        <x:v>일부 구현은 확인되나 실장비 연동, Timeout/Alarm/Recovery, 저장·복원 또는 고객 수용시험 증빙이 부족</x:v>
      </x:c>
    </x:row>
    <x:row r="222" ht="42" customHeight="1">
      <x:c r="A222" s="83" t="str">
        <x:v>MM-002</x:v>
      </x:c>
      <x:c r="B222" s="83" t="str">
        <x:v>구동부 기본 제어</x:v>
      </x:c>
      <x:c r="C222" s="83" t="n">
        <x:v>25</x:v>
      </x:c>
      <x:c r="D222" s="83" t="str">
        <x:v>통신</x:v>
      </x:c>
      <x:c r="E222" s="83" t="str">
        <x:v>XPS Motion Controller 연동 기능 구현</x:v>
      </x:c>
      <x:c r="F222" s="83" t="str">
        <x:v>06-01</x:v>
      </x:c>
      <x:c r="G222" s="83" t="str">
        <x:v>Device Manual 명령</x:v>
      </x:c>
      <x:c r="H222" s="83" t="str">
        <x:v>E-XPS</x:v>
      </x:c>
      <x:c r="I222" s="83" t="str">
        <x:v>Drilling.Common/Motion/XPS/CXpsMotion.cs</x:v>
      </x:c>
      <x:c r="J222" s="83" t="str">
        <x:v>CXpsMotion</x:v>
      </x:c>
      <x:c r="K222" s="83" t="str">
        <x:v>MoveAbs</x:v>
      </x:c>
      <x:c r="L222" s="83" t="str">
        <x:v>부분 반영</x:v>
      </x:c>
      <x:c r="M222" s="84" t="n">
        <x:v>0.72</x:v>
      </x:c>
      <x:c r="N222" s="83" t="str">
        <x:v>일부 구현은 확인되나 실장비 연동, Timeout/Alarm/Recovery, 저장·복원 또는 고객 수용시험 증빙이 부족</x:v>
      </x:c>
    </x:row>
    <x:row r="223" ht="42" customHeight="1">
      <x:c r="A223" s="83" t="str">
        <x:v>MM-002</x:v>
      </x:c>
      <x:c r="B223" s="83" t="str">
        <x:v>구동부 기본 제어</x:v>
      </x:c>
      <x:c r="C223" s="83" t="n">
        <x:v>83</x:v>
      </x:c>
      <x:c r="D223" s="83" t="str">
        <x:v>기능</x:v>
      </x:c>
      <x:c r="E223" s="83" t="str">
        <x:v>Manual 화면 내 Stage 관련 기능 구현</x:v>
      </x:c>
      <x:c r="F223" s="83" t="str">
        <x:v>06-01</x:v>
      </x:c>
      <x:c r="G223" s="83" t="str">
        <x:v>Device Manual 명령</x:v>
      </x:c>
      <x:c r="H223" s="83" t="str">
        <x:v>E-UI-MANUAL</x:v>
      </x:c>
      <x:c r="I223" s="83" t="str">
        <x:v>Drilling.UI/Menu/Menus/CMenuManual.cs</x:v>
      </x:c>
      <x:c r="J223" s="83" t="str">
        <x:v>CMenuManual</x:v>
      </x:c>
      <x:c r="K223" s="83" t="str">
        <x:v>ExecuteManualOperation</x:v>
      </x:c>
      <x:c r="L223" s="83" t="str">
        <x:v>부분 반영</x:v>
      </x:c>
      <x:c r="M223" s="84" t="n">
        <x:v>0.72</x:v>
      </x:c>
      <x:c r="N223" s="83" t="str">
        <x:v>일부 구현은 확인되나 실장비 연동, Timeout/Alarm/Recovery, 저장·복원 또는 고객 수용시험 증빙이 부족</x:v>
      </x:c>
    </x:row>
    <x:row r="224" ht="42" customHeight="1">
      <x:c r="A224" s="83" t="str">
        <x:v>MM-003</x:v>
      </x:c>
      <x:c r="B224" s="83" t="str">
        <x:v>Task 및 서보 리셋</x:v>
      </x:c>
      <x:c r="C224" s="83" t="n">
        <x:v>27</x:v>
      </x:c>
      <x:c r="D224" s="83" t="str">
        <x:v>통신</x:v>
      </x:c>
      <x:c r="E224" s="83" t="str">
        <x:v>PicoMotor 연동 기능 구현</x:v>
      </x:c>
      <x:c r="F224" s="83" t="str">
        <x:v>05-04</x:v>
      </x:c>
      <x:c r="G224" s="83" t="str">
        <x:v>보호윈도우 교체 Sequence</x:v>
      </x:c>
      <x:c r="H224" s="83" t="str">
        <x:v>E-PICO</x:v>
      </x:c>
      <x:c r="I224" s="83" t="str">
        <x:v>Drilling.Common/Interface/PicoMotor/CPicoMotorService.cs</x:v>
      </x:c>
      <x:c r="J224" s="83" t="str">
        <x:v>CPicoMotorService</x:v>
      </x:c>
      <x:c r="K224" s="83" t="str">
        <x:v>MoveAbsolute</x:v>
      </x:c>
      <x:c r="L224" s="83" t="str">
        <x:v>부분 반영</x:v>
      </x:c>
      <x:c r="M224" s="84" t="n">
        <x:v>0.75</x:v>
      </x:c>
      <x:c r="N224" s="83" t="str">
        <x:v>일부 구현은 확인되나 실장비 연동, Timeout/Alarm/Recovery, 저장·복원 또는 고객 수용시험 증빙이 부족</x:v>
      </x:c>
    </x:row>
    <x:row r="225" ht="42" customHeight="1">
      <x:c r="A225" s="83" t="str">
        <x:v>MM-003</x:v>
      </x:c>
      <x:c r="B225" s="83" t="str">
        <x:v>Task 및 서보 리셋</x:v>
      </x:c>
      <x:c r="C225" s="83" t="n">
        <x:v>27</x:v>
      </x:c>
      <x:c r="D225" s="83" t="str">
        <x:v>통신</x:v>
      </x:c>
      <x:c r="E225" s="83" t="str">
        <x:v>PicoMotor 연동 기능 구현</x:v>
      </x:c>
      <x:c r="F225" s="83" t="str">
        <x:v>06-01</x:v>
      </x:c>
      <x:c r="G225" s="83" t="str">
        <x:v>Device Manual 명령</x:v>
      </x:c>
      <x:c r="H225" s="83" t="str">
        <x:v>E-PICO</x:v>
      </x:c>
      <x:c r="I225" s="83" t="str">
        <x:v>Drilling.Common/Interface/PicoMotor/CPicoMotorService.cs</x:v>
      </x:c>
      <x:c r="J225" s="83" t="str">
        <x:v>CPicoMotorService</x:v>
      </x:c>
      <x:c r="K225" s="83" t="str">
        <x:v>MoveAbsolute</x:v>
      </x:c>
      <x:c r="L225" s="83" t="str">
        <x:v>부분 반영</x:v>
      </x:c>
      <x:c r="M225" s="84" t="n">
        <x:v>0.75</x:v>
      </x:c>
      <x:c r="N225" s="83" t="str">
        <x:v>일부 구현은 확인되나 실장비 연동, Timeout/Alarm/Recovery, 저장·복원 또는 고객 수용시험 증빙이 부족</x:v>
      </x:c>
    </x:row>
    <x:row r="226" ht="42" customHeight="1">
      <x:c r="A226" s="83" t="str">
        <x:v>MM-003</x:v>
      </x:c>
      <x:c r="B226" s="83" t="str">
        <x:v>Task 및 서보 리셋</x:v>
      </x:c>
      <x:c r="C226" s="83" t="n">
        <x:v>34</x:v>
      </x:c>
      <x:c r="D226" s="83" t="str">
        <x:v>통신</x:v>
      </x:c>
      <x:c r="E226" s="83" t="str">
        <x:v>Automation1 연동 기능 구현</x:v>
      </x:c>
      <x:c r="F226" s="83" t="str">
        <x:v>05-04</x:v>
      </x:c>
      <x:c r="G226" s="83" t="str">
        <x:v>보호윈도우 교체 Sequence</x:v>
      </x:c>
      <x:c r="H226" s="83" t="str">
        <x:v>E-AUTOMATION</x:v>
      </x:c>
      <x:c r="I226" s="83" t="str">
        <x:v>Drilling.Common/Interface/Automation1/CAutomation1Comm.cs</x:v>
      </x:c>
      <x:c r="J226" s="83" t="str">
        <x:v>CAutomation1Comm</x:v>
      </x:c>
      <x:c r="K226" s="83" t="str">
        <x:v>Execute</x:v>
      </x:c>
      <x:c r="L226" s="83" t="str">
        <x:v>부분 반영</x:v>
      </x:c>
      <x:c r="M226" s="84" t="n">
        <x:v>0.75</x:v>
      </x:c>
      <x:c r="N226" s="83" t="str">
        <x:v>일부 구현은 확인되나 실장비 연동, Timeout/Alarm/Recovery, 저장·복원 또는 고객 수용시험 증빙이 부족</x:v>
      </x:c>
    </x:row>
    <x:row r="227" ht="42" customHeight="1">
      <x:c r="A227" s="83" t="str">
        <x:v>MM-003</x:v>
      </x:c>
      <x:c r="B227" s="83" t="str">
        <x:v>Task 및 서보 리셋</x:v>
      </x:c>
      <x:c r="C227" s="83" t="n">
        <x:v>34</x:v>
      </x:c>
      <x:c r="D227" s="83" t="str">
        <x:v>통신</x:v>
      </x:c>
      <x:c r="E227" s="83" t="str">
        <x:v>Automation1 연동 기능 구현</x:v>
      </x:c>
      <x:c r="F227" s="83" t="str">
        <x:v>06-01</x:v>
      </x:c>
      <x:c r="G227" s="83" t="str">
        <x:v>Device Manual 명령</x:v>
      </x:c>
      <x:c r="H227" s="83" t="str">
        <x:v>E-AUTOMATION</x:v>
      </x:c>
      <x:c r="I227" s="83" t="str">
        <x:v>Drilling.Common/Interface/Automation1/CAutomation1Comm.cs</x:v>
      </x:c>
      <x:c r="J227" s="83" t="str">
        <x:v>CAutomation1Comm</x:v>
      </x:c>
      <x:c r="K227" s="83" t="str">
        <x:v>Execute</x:v>
      </x:c>
      <x:c r="L227" s="83" t="str">
        <x:v>부분 반영</x:v>
      </x:c>
      <x:c r="M227" s="84" t="n">
        <x:v>0.75</x:v>
      </x:c>
      <x:c r="N227" s="83" t="str">
        <x:v>일부 구현은 확인되나 실장비 연동, Timeout/Alarm/Recovery, 저장·복원 또는 고객 수용시험 증빙이 부족</x:v>
      </x:c>
    </x:row>
    <x:row r="228" ht="42" customHeight="1">
      <x:c r="A228" s="83" t="str">
        <x:v>MM-003</x:v>
      </x:c>
      <x:c r="B228" s="83" t="str">
        <x:v>Task 및 서보 리셋</x:v>
      </x:c>
      <x:c r="C228" s="83" t="n">
        <x:v>59</x:v>
      </x:c>
      <x:c r="D228" s="83" t="str">
        <x:v>Sequence</x:v>
      </x:c>
      <x:c r="E228" s="83" t="str">
        <x:v>Recovery Sequence - 중단 처리 구현</x:v>
      </x:c>
      <x:c r="F228" s="83" t="str">
        <x:v>05-04</x:v>
      </x:c>
      <x:c r="G228" s="83" t="str">
        <x:v>보호윈도우 교체 Sequence</x:v>
      </x:c>
      <x:c r="H228" s="83" t="str">
        <x:v>E-SEQUENCE-STOP</x:v>
      </x:c>
      <x:c r="I228" s="83" t="str">
        <x:v>Drilling.Common/Station/CStationProcess.cs</x:v>
      </x:c>
      <x:c r="J228" s="83" t="str">
        <x:v>CStationProcess</x:v>
      </x:c>
      <x:c r="K228" s="83" t="str">
        <x:v>ProcessReset</x:v>
      </x:c>
      <x:c r="L228" s="83" t="str">
        <x:v>부분 반영</x:v>
      </x:c>
      <x:c r="M228" s="84" t="n">
        <x:v>0.75</x:v>
      </x:c>
      <x:c r="N228" s="83" t="str">
        <x:v>일부 구현은 확인되나 실장비 연동, Timeout/Alarm/Recovery, 저장·복원 또는 고객 수용시험 증빙이 부족</x:v>
      </x:c>
    </x:row>
    <x:row r="229" ht="42" customHeight="1">
      <x:c r="A229" s="83" t="str">
        <x:v>MM-003</x:v>
      </x:c>
      <x:c r="B229" s="83" t="str">
        <x:v>Task 및 서보 리셋</x:v>
      </x:c>
      <x:c r="C229" s="83" t="n">
        <x:v>59</x:v>
      </x:c>
      <x:c r="D229" s="83" t="str">
        <x:v>Sequence</x:v>
      </x:c>
      <x:c r="E229" s="83" t="str">
        <x:v>Recovery Sequence - 중단 처리 구현</x:v>
      </x:c>
      <x:c r="F229" s="83" t="str">
        <x:v>06-01</x:v>
      </x:c>
      <x:c r="G229" s="83" t="str">
        <x:v>Device Manual 명령</x:v>
      </x:c>
      <x:c r="H229" s="83" t="str">
        <x:v>E-SEQUENCE-STOP</x:v>
      </x:c>
      <x:c r="I229" s="83" t="str">
        <x:v>Drilling.Common/Station/CStationProcess.cs</x:v>
      </x:c>
      <x:c r="J229" s="83" t="str">
        <x:v>CStationProcess</x:v>
      </x:c>
      <x:c r="K229" s="83" t="str">
        <x:v>ProcessReset</x:v>
      </x:c>
      <x:c r="L229" s="83" t="str">
        <x:v>부분 반영</x:v>
      </x:c>
      <x:c r="M229" s="84" t="n">
        <x:v>0.75</x:v>
      </x:c>
      <x:c r="N229" s="83" t="str">
        <x:v>일부 구현은 확인되나 실장비 연동, Timeout/Alarm/Recovery, 저장·복원 또는 고객 수용시험 증빙이 부족</x:v>
      </x:c>
    </x:row>
    <x:row r="230" ht="42" customHeight="1">
      <x:c r="A230" s="83" t="str">
        <x:v>MM-003</x:v>
      </x:c>
      <x:c r="B230" s="83" t="str">
        <x:v>Task 및 서보 리셋</x:v>
      </x:c>
      <x:c r="C230" s="83" t="n">
        <x:v>60</x:v>
      </x:c>
      <x:c r="D230" s="83" t="str">
        <x:v>Sequence</x:v>
      </x:c>
      <x:c r="E230" s="83" t="str">
        <x:v>Recovery Sequence - Alarm 후 Reset 구현</x:v>
      </x:c>
      <x:c r="F230" s="83" t="str">
        <x:v>05-04</x:v>
      </x:c>
      <x:c r="G230" s="83" t="str">
        <x:v>보호윈도우 교체 Sequence</x:v>
      </x:c>
      <x:c r="H230" s="83" t="str">
        <x:v>E-SEQUENCE-STOP</x:v>
      </x:c>
      <x:c r="I230" s="83" t="str">
        <x:v>Drilling.Common/Station/CStationProcess.cs</x:v>
      </x:c>
      <x:c r="J230" s="83" t="str">
        <x:v>CStationProcess</x:v>
      </x:c>
      <x:c r="K230" s="83" t="str">
        <x:v>ProcessReset</x:v>
      </x:c>
      <x:c r="L230" s="83" t="str">
        <x:v>부분 반영</x:v>
      </x:c>
      <x:c r="M230" s="84" t="n">
        <x:v>0.75</x:v>
      </x:c>
      <x:c r="N230" s="83" t="str">
        <x:v>일부 구현은 확인되나 실장비 연동, Timeout/Alarm/Recovery, 저장·복원 또는 고객 수용시험 증빙이 부족</x:v>
      </x:c>
    </x:row>
    <x:row r="231" ht="42" customHeight="1">
      <x:c r="A231" s="83" t="str">
        <x:v>MM-003</x:v>
      </x:c>
      <x:c r="B231" s="83" t="str">
        <x:v>Task 및 서보 리셋</x:v>
      </x:c>
      <x:c r="C231" s="83" t="n">
        <x:v>60</x:v>
      </x:c>
      <x:c r="D231" s="83" t="str">
        <x:v>Sequence</x:v>
      </x:c>
      <x:c r="E231" s="83" t="str">
        <x:v>Recovery Sequence - Alarm 후 Reset 구현</x:v>
      </x:c>
      <x:c r="F231" s="83" t="str">
        <x:v>06-01</x:v>
      </x:c>
      <x:c r="G231" s="83" t="str">
        <x:v>Device Manual 명령</x:v>
      </x:c>
      <x:c r="H231" s="83" t="str">
        <x:v>E-SEQUENCE-STOP</x:v>
      </x:c>
      <x:c r="I231" s="83" t="str">
        <x:v>Drilling.Common/Station/CStationProcess.cs</x:v>
      </x:c>
      <x:c r="J231" s="83" t="str">
        <x:v>CStationProcess</x:v>
      </x:c>
      <x:c r="K231" s="83" t="str">
        <x:v>ProcessReset</x:v>
      </x:c>
      <x:c r="L231" s="83" t="str">
        <x:v>부분 반영</x:v>
      </x:c>
      <x:c r="M231" s="84" t="n">
        <x:v>0.75</x:v>
      </x:c>
      <x:c r="N231" s="83" t="str">
        <x:v>일부 구현은 확인되나 실장비 연동, Timeout/Alarm/Recovery, 저장·복원 또는 고객 수용시험 증빙이 부족</x:v>
      </x:c>
    </x:row>
    <x:row r="232" ht="42" customHeight="1">
      <x:c r="A232" s="83" t="str">
        <x:v>MM-003</x:v>
      </x:c>
      <x:c r="B232" s="83" t="str">
        <x:v>Task 및 서보 리셋</x:v>
      </x:c>
      <x:c r="C232" s="83" t="n">
        <x:v>61</x:v>
      </x:c>
      <x:c r="D232" s="83" t="str">
        <x:v>Sequence</x:v>
      </x:c>
      <x:c r="E232" s="83" t="str">
        <x:v>Recovery Sequence - 재시작 구현</x:v>
      </x:c>
      <x:c r="F232" s="83" t="str">
        <x:v>05-04</x:v>
      </x:c>
      <x:c r="G232" s="83" t="str">
        <x:v>보호윈도우 교체 Sequence</x:v>
      </x:c>
      <x:c r="H232" s="83" t="str">
        <x:v>E-SEQUENCE-STOP</x:v>
      </x:c>
      <x:c r="I232" s="83" t="str">
        <x:v>Drilling.Common/Station/CStationProcess.cs</x:v>
      </x:c>
      <x:c r="J232" s="83" t="str">
        <x:v>CStationProcess</x:v>
      </x:c>
      <x:c r="K232" s="83" t="str">
        <x:v>ProcessReset</x:v>
      </x:c>
      <x:c r="L232" s="83" t="str">
        <x:v>부분 반영</x:v>
      </x:c>
      <x:c r="M232" s="84" t="n">
        <x:v>0.75</x:v>
      </x:c>
      <x:c r="N232" s="83" t="str">
        <x:v>일부 구현은 확인되나 실장비 연동, Timeout/Alarm/Recovery, 저장·복원 또는 고객 수용시험 증빙이 부족</x:v>
      </x:c>
    </x:row>
    <x:row r="233" ht="42" customHeight="1">
      <x:c r="A233" s="83" t="str">
        <x:v>MM-003</x:v>
      </x:c>
      <x:c r="B233" s="83" t="str">
        <x:v>Task 및 서보 리셋</x:v>
      </x:c>
      <x:c r="C233" s="83" t="n">
        <x:v>61</x:v>
      </x:c>
      <x:c r="D233" s="83" t="str">
        <x:v>Sequence</x:v>
      </x:c>
      <x:c r="E233" s="83" t="str">
        <x:v>Recovery Sequence - 재시작 구현</x:v>
      </x:c>
      <x:c r="F233" s="83" t="str">
        <x:v>06-01</x:v>
      </x:c>
      <x:c r="G233" s="83" t="str">
        <x:v>Device Manual 명령</x:v>
      </x:c>
      <x:c r="H233" s="83" t="str">
        <x:v>E-SEQUENCE-STOP</x:v>
      </x:c>
      <x:c r="I233" s="83" t="str">
        <x:v>Drilling.Common/Station/CStationProcess.cs</x:v>
      </x:c>
      <x:c r="J233" s="83" t="str">
        <x:v>CStationProcess</x:v>
      </x:c>
      <x:c r="K233" s="83" t="str">
        <x:v>ProcessReset</x:v>
      </x:c>
      <x:c r="L233" s="83" t="str">
        <x:v>부분 반영</x:v>
      </x:c>
      <x:c r="M233" s="84" t="n">
        <x:v>0.75</x:v>
      </x:c>
      <x:c r="N233" s="83" t="str">
        <x:v>일부 구현은 확인되나 실장비 연동, Timeout/Alarm/Recovery, 저장·복원 또는 고객 수용시험 증빙이 부족</x:v>
      </x:c>
    </x:row>
    <x:row r="234" ht="42" customHeight="1">
      <x:c r="A234" s="83" t="str">
        <x:v>MM-003</x:v>
      </x:c>
      <x:c r="B234" s="83" t="str">
        <x:v>Task 및 서보 리셋</x:v>
      </x:c>
      <x:c r="C234" s="83" t="n">
        <x:v>62</x:v>
      </x:c>
      <x:c r="D234" s="83" t="str">
        <x:v>Sequence</x:v>
      </x:c>
      <x:c r="E234" s="83" t="str">
        <x:v>Recovery Sequence - 이어서 시작 구현</x:v>
      </x:c>
      <x:c r="F234" s="83" t="str">
        <x:v>05-04</x:v>
      </x:c>
      <x:c r="G234" s="83" t="str">
        <x:v>보호윈도우 교체 Sequence</x:v>
      </x:c>
      <x:c r="H234" s="83" t="str">
        <x:v>E-SEQUENCE-STOP</x:v>
      </x:c>
      <x:c r="I234" s="83" t="str">
        <x:v>Drilling.Common/Station/CStationProcess.cs</x:v>
      </x:c>
      <x:c r="J234" s="83" t="str">
        <x:v>CStationProcess</x:v>
      </x:c>
      <x:c r="K234" s="83" t="str">
        <x:v>ProcessReset</x:v>
      </x:c>
      <x:c r="L234" s="83" t="str">
        <x:v>부분 반영</x:v>
      </x:c>
      <x:c r="M234" s="84" t="n">
        <x:v>0.75</x:v>
      </x:c>
      <x:c r="N234" s="83" t="str">
        <x:v>일부 구현은 확인되나 실장비 연동, Timeout/Alarm/Recovery, 저장·복원 또는 고객 수용시험 증빙이 부족</x:v>
      </x:c>
    </x:row>
    <x:row r="235" ht="42" customHeight="1">
      <x:c r="A235" s="83" t="str">
        <x:v>MM-003</x:v>
      </x:c>
      <x:c r="B235" s="83" t="str">
        <x:v>Task 및 서보 리셋</x:v>
      </x:c>
      <x:c r="C235" s="83" t="n">
        <x:v>62</x:v>
      </x:c>
      <x:c r="D235" s="83" t="str">
        <x:v>Sequence</x:v>
      </x:c>
      <x:c r="E235" s="83" t="str">
        <x:v>Recovery Sequence - 이어서 시작 구현</x:v>
      </x:c>
      <x:c r="F235" s="83" t="str">
        <x:v>06-01</x:v>
      </x:c>
      <x:c r="G235" s="83" t="str">
        <x:v>Device Manual 명령</x:v>
      </x:c>
      <x:c r="H235" s="83" t="str">
        <x:v>E-SEQUENCE-STOP</x:v>
      </x:c>
      <x:c r="I235" s="83" t="str">
        <x:v>Drilling.Common/Station/CStationProcess.cs</x:v>
      </x:c>
      <x:c r="J235" s="83" t="str">
        <x:v>CStationProcess</x:v>
      </x:c>
      <x:c r="K235" s="83" t="str">
        <x:v>ProcessReset</x:v>
      </x:c>
      <x:c r="L235" s="83" t="str">
        <x:v>부분 반영</x:v>
      </x:c>
      <x:c r="M235" s="84" t="n">
        <x:v>0.75</x:v>
      </x:c>
      <x:c r="N235" s="83" t="str">
        <x:v>일부 구현은 확인되나 실장비 연동, Timeout/Alarm/Recovery, 저장·복원 또는 고객 수용시험 증빙이 부족</x:v>
      </x:c>
    </x:row>
    <x:row r="236" ht="42" customHeight="1">
      <x:c r="A236" s="83" t="str">
        <x:v>MM-004</x:v>
      </x:c>
      <x:c r="B236" s="83" t="str">
        <x:v>매뉴얼 가공 조건 설정</x:v>
      </x:c>
      <x:c r="C236" s="83" t="n">
        <x:v>5</x:v>
      </x:c>
      <x:c r="D236" s="83" t="str">
        <x:v>UI</x:v>
      </x:c>
      <x:c r="E236" s="83" t="str">
        <x:v>Manual 화면 - Scanner 화면 구현</x:v>
      </x:c>
      <x:c r="F236" s="83" t="str">
        <x:v>06-02</x:v>
      </x:c>
      <x:c r="G236" s="83" t="str">
        <x:v>Manual 가공·패턴</x:v>
      </x:c>
      <x:c r="H236" s="83" t="str">
        <x:v>E-UI-MANUAL</x:v>
      </x:c>
      <x:c r="I236" s="83" t="str">
        <x:v>Drilling.UI/Menu/Menus/CMenuManual.cs</x:v>
      </x:c>
      <x:c r="J236" s="83" t="str">
        <x:v>CMenuManual</x:v>
      </x:c>
      <x:c r="K236" s="83" t="str">
        <x:v>ExecuteManualOperation</x:v>
      </x:c>
      <x:c r="L236" s="83" t="str">
        <x:v>부분 반영</x:v>
      </x:c>
      <x:c r="M236" s="84" t="n">
        <x:v>0.76</x:v>
      </x:c>
      <x:c r="N236" s="83" t="str">
        <x:v>일부 구현은 확인되나 실장비 연동, Timeout/Alarm/Recovery, 저장·복원 또는 고객 수용시험 증빙이 부족</x:v>
      </x:c>
    </x:row>
    <x:row r="237" ht="42" customHeight="1">
      <x:c r="A237" s="83" t="str">
        <x:v>MM-004</x:v>
      </x:c>
      <x:c r="B237" s="83" t="str">
        <x:v>매뉴얼 가공 조건 설정</x:v>
      </x:c>
      <x:c r="C237" s="83" t="n">
        <x:v>77</x:v>
      </x:c>
      <x:c r="D237" s="83" t="str">
        <x:v>기능</x:v>
      </x:c>
      <x:c r="E237" s="83" t="str">
        <x:v>Manual 화면 내 Scanner 관련 기능 구현</x:v>
      </x:c>
      <x:c r="F237" s="83" t="str">
        <x:v>06-02</x:v>
      </x:c>
      <x:c r="G237" s="83" t="str">
        <x:v>Manual 가공·패턴</x:v>
      </x:c>
      <x:c r="H237" s="83" t="str">
        <x:v>E-UI-MANUAL</x:v>
      </x:c>
      <x:c r="I237" s="83" t="str">
        <x:v>Drilling.UI/Menu/Menus/CMenuManual.cs</x:v>
      </x:c>
      <x:c r="J237" s="83" t="str">
        <x:v>CMenuManual</x:v>
      </x:c>
      <x:c r="K237" s="83" t="str">
        <x:v>ExecuteManualOperation</x:v>
      </x:c>
      <x:c r="L237" s="83" t="str">
        <x:v>부분 반영</x:v>
      </x:c>
      <x:c r="M237" s="84" t="n">
        <x:v>0.76</x:v>
      </x:c>
      <x:c r="N237" s="83" t="str">
        <x:v>일부 구현은 확인되나 실장비 연동, Timeout/Alarm/Recovery, 저장·복원 또는 고객 수용시험 증빙이 부족</x:v>
      </x:c>
    </x:row>
    <x:row r="238" ht="42" customHeight="1">
      <x:c r="A238" s="83" t="str">
        <x:v>MM-004</x:v>
      </x:c>
      <x:c r="B238" s="83" t="str">
        <x:v>매뉴얼 가공 조건 설정</x:v>
      </x:c>
      <x:c r="C238" s="83" t="n">
        <x:v>78</x:v>
      </x:c>
      <x:c r="D238" s="83" t="str">
        <x:v>기능</x:v>
      </x:c>
      <x:c r="E238" s="83" t="str">
        <x:v>DOT/CROSS Pattern 가공 구현</x:v>
      </x:c>
      <x:c r="F238" s="83" t="str">
        <x:v>06-02</x:v>
      </x:c>
      <x:c r="G238" s="83" t="str">
        <x:v>Manual 가공·패턴</x:v>
      </x:c>
      <x:c r="H238" s="83" t="str">
        <x:v>E-UI-MANUAL</x:v>
      </x:c>
      <x:c r="I238" s="83" t="str">
        <x:v>Drilling.UI/Menu/Menus/CMenuManual.cs</x:v>
      </x:c>
      <x:c r="J238" s="83" t="str">
        <x:v>CMenuManual</x:v>
      </x:c>
      <x:c r="K238" s="83" t="str">
        <x:v>ExecuteManualOperation</x:v>
      </x:c>
      <x:c r="L238" s="83" t="str">
        <x:v>부분 반영</x:v>
      </x:c>
      <x:c r="M238" s="84" t="n">
        <x:v>0.76</x:v>
      </x:c>
      <x:c r="N238" s="83" t="str">
        <x:v>일부 구현은 확인되나 실장비 연동, Timeout/Alarm/Recovery, 저장·복원 또는 고객 수용시험 증빙이 부족</x:v>
      </x:c>
    </x:row>
    <x:row r="239" ht="42" customHeight="1">
      <x:c r="A239" s="83" t="str">
        <x:v>MM-004</x:v>
      </x:c>
      <x:c r="B239" s="83" t="str">
        <x:v>매뉴얼 가공 조건 설정</x:v>
      </x:c>
      <x:c r="C239" s="83" t="n">
        <x:v>79</x:v>
      </x:c>
      <x:c r="D239" s="83" t="str">
        <x:v>기능</x:v>
      </x:c>
      <x:c r="E239" s="83" t="str">
        <x:v>CIRCLE/RECT Pattern 가공 구현</x:v>
      </x:c>
      <x:c r="F239" s="83" t="str">
        <x:v>06-02</x:v>
      </x:c>
      <x:c r="G239" s="83" t="str">
        <x:v>Manual 가공·패턴</x:v>
      </x:c>
      <x:c r="H239" s="83" t="str">
        <x:v>E-UI-MANUAL</x:v>
      </x:c>
      <x:c r="I239" s="83" t="str">
        <x:v>Drilling.UI/Menu/Menus/CMenuManual.cs</x:v>
      </x:c>
      <x:c r="J239" s="83" t="str">
        <x:v>CMenuManual</x:v>
      </x:c>
      <x:c r="K239" s="83" t="str">
        <x:v>ExecuteManualOperation</x:v>
      </x:c>
      <x:c r="L239" s="83" t="str">
        <x:v>부분 반영</x:v>
      </x:c>
      <x:c r="M239" s="84" t="n">
        <x:v>0.76</x:v>
      </x:c>
      <x:c r="N239" s="83" t="str">
        <x:v>일부 구현은 확인되나 실장비 연동, Timeout/Alarm/Recovery, 저장·복원 또는 고객 수용시험 증빙이 부족</x:v>
      </x:c>
    </x:row>
    <x:row r="240" ht="42" customHeight="1">
      <x:c r="A240" s="83" t="str">
        <x:v>MM-004</x:v>
      </x:c>
      <x:c r="B240" s="83" t="str">
        <x:v>매뉴얼 가공 조건 설정</x:v>
      </x:c>
      <x:c r="C240" s="83" t="n">
        <x:v>80</x:v>
      </x:c>
      <x:c r="D240" s="83" t="str">
        <x:v>기능</x:v>
      </x:c>
      <x:c r="E240" s="83" t="str">
        <x:v>RECT Pattern 가공 구현</x:v>
      </x:c>
      <x:c r="F240" s="83" t="str">
        <x:v>06-02</x:v>
      </x:c>
      <x:c r="G240" s="83" t="str">
        <x:v>Manual 가공·패턴</x:v>
      </x:c>
      <x:c r="H240" s="83" t="str">
        <x:v>E-UI-MANUAL</x:v>
      </x:c>
      <x:c r="I240" s="83" t="str">
        <x:v>Drilling.UI/Menu/Menus/CMenuManual.cs</x:v>
      </x:c>
      <x:c r="J240" s="83" t="str">
        <x:v>CMenuManual</x:v>
      </x:c>
      <x:c r="K240" s="83" t="str">
        <x:v>ExecuteManualOperation</x:v>
      </x:c>
      <x:c r="L240" s="83" t="str">
        <x:v>부분 반영</x:v>
      </x:c>
      <x:c r="M240" s="84" t="n">
        <x:v>0.76</x:v>
      </x:c>
      <x:c r="N240" s="83" t="str">
        <x:v>일부 구현은 확인되나 실장비 연동, Timeout/Alarm/Recovery, 저장·복원 또는 고객 수용시험 증빙이 부족</x:v>
      </x:c>
    </x:row>
    <x:row r="241" ht="42" customHeight="1">
      <x:c r="A241" s="83" t="str">
        <x:v>MM-004</x:v>
      </x:c>
      <x:c r="B241" s="83" t="str">
        <x:v>매뉴얼 가공 조건 설정</x:v>
      </x:c>
      <x:c r="C241" s="83" t="n">
        <x:v>81</x:v>
      </x:c>
      <x:c r="D241" s="83" t="str">
        <x:v>기능</x:v>
      </x:c>
      <x:c r="E241" s="83" t="str">
        <x:v>LINE/H-LINE/V-LINE Pattern 가공 구현</x:v>
      </x:c>
      <x:c r="F241" s="83" t="str">
        <x:v>06-02</x:v>
      </x:c>
      <x:c r="G241" s="83" t="str">
        <x:v>Manual 가공·패턴</x:v>
      </x:c>
      <x:c r="H241" s="83" t="str">
        <x:v>E-UI-MANUAL</x:v>
      </x:c>
      <x:c r="I241" s="83" t="str">
        <x:v>Drilling.UI/Menu/Menus/CMenuManual.cs</x:v>
      </x:c>
      <x:c r="J241" s="83" t="str">
        <x:v>CMenuManual</x:v>
      </x:c>
      <x:c r="K241" s="83" t="str">
        <x:v>ExecuteManualOperation</x:v>
      </x:c>
      <x:c r="L241" s="83" t="str">
        <x:v>부분 반영</x:v>
      </x:c>
      <x:c r="M241" s="84" t="n">
        <x:v>0.76</x:v>
      </x:c>
      <x:c r="N241" s="83" t="str">
        <x:v>일부 구현은 확인되나 실장비 연동, Timeout/Alarm/Recovery, 저장·복원 또는 고객 수용시험 증빙이 부족</x:v>
      </x:c>
    </x:row>
    <x:row r="242" ht="42" customHeight="1">
      <x:c r="A242" s="83" t="str">
        <x:v>MM-004</x:v>
      </x:c>
      <x:c r="B242" s="83" t="str">
        <x:v>매뉴얼 가공 조건 설정</x:v>
      </x:c>
      <x:c r="C242" s="83" t="n">
        <x:v>82</x:v>
      </x:c>
      <x:c r="D242" s="83" t="str">
        <x:v>기능</x:v>
      </x:c>
      <x:c r="E242" s="83" t="str">
        <x:v>GRID Pattern 가공 구현</x:v>
      </x:c>
      <x:c r="F242" s="83" t="str">
        <x:v>06-02</x:v>
      </x:c>
      <x:c r="G242" s="83" t="str">
        <x:v>Manual 가공·패턴</x:v>
      </x:c>
      <x:c r="H242" s="83" t="str">
        <x:v>E-UI-MANUAL</x:v>
      </x:c>
      <x:c r="I242" s="83" t="str">
        <x:v>Drilling.UI/Menu/Menus/CMenuManual.cs</x:v>
      </x:c>
      <x:c r="J242" s="83" t="str">
        <x:v>CMenuManual</x:v>
      </x:c>
      <x:c r="K242" s="83" t="str">
        <x:v>ExecuteManualOperation</x:v>
      </x:c>
      <x:c r="L242" s="83" t="str">
        <x:v>부분 반영</x:v>
      </x:c>
      <x:c r="M242" s="84" t="n">
        <x:v>0.76</x:v>
      </x:c>
      <x:c r="N242" s="83" t="str">
        <x:v>일부 구현은 확인되나 실장비 연동, Timeout/Alarm/Recovery, 저장·복원 또는 고객 수용시험 증빙이 부족</x:v>
      </x:c>
    </x:row>
    <x:row r="243" ht="42" customHeight="1">
      <x:c r="A243" s="83" t="str">
        <x:v>MM-005</x:v>
      </x:c>
      <x:c r="B243" s="83" t="str">
        <x:v>TEG 가공 관리</x:v>
      </x:c>
      <x:c r="C243" s="83" t="n">
        <x:v>44</x:v>
      </x:c>
      <x:c r="D243" s="83" t="str">
        <x:v>File/Data</x:v>
      </x:c>
      <x:c r="E243" s="83" t="str">
        <x:v>Manual Scan 문서 구조 확정</x:v>
      </x:c>
      <x:c r="F243" s="83" t="str">
        <x:v>06-03</x:v>
      </x:c>
      <x:c r="G243" s="83" t="str">
        <x:v>TEG 가공</x:v>
      </x:c>
      <x:c r="H243" s="83" t="str">
        <x:v>E-UI-MANUAL</x:v>
      </x:c>
      <x:c r="I243" s="83" t="str">
        <x:v>Drilling.UI/Menu/Menus/CMenuManual.cs</x:v>
      </x:c>
      <x:c r="J243" s="83" t="str">
        <x:v>CMenuManual</x:v>
      </x:c>
      <x:c r="K243" s="83" t="str">
        <x:v>ExecuteManualOperation</x:v>
      </x:c>
      <x:c r="L243" s="83" t="str">
        <x:v>미반영</x:v>
      </x:c>
      <x:c r="M243" s="84" t="n">
        <x:v>0.76</x:v>
      </x:c>
      <x:c r="N243" s="83" t="str">
        <x:v>전용 Driver/Sequence/UI/데이터 모델의 직접 구현 근거가 없어 신규 구현과 단위·통합·실장비 시험이 필요</x:v>
      </x:c>
    </x:row>
    <x:row r="244" ht="42" customHeight="1">
      <x:c r="A244" s="83" t="str">
        <x:v>MM-005</x:v>
      </x:c>
      <x:c r="B244" s="83" t="str">
        <x:v>TEG 가공 관리</x:v>
      </x:c>
      <x:c r="C244" s="83" t="n">
        <x:v>78</x:v>
      </x:c>
      <x:c r="D244" s="83" t="str">
        <x:v>기능</x:v>
      </x:c>
      <x:c r="E244" s="83" t="str">
        <x:v>DOT/CROSS Pattern 가공 구현</x:v>
      </x:c>
      <x:c r="F244" s="83" t="str">
        <x:v>06-03</x:v>
      </x:c>
      <x:c r="G244" s="83" t="str">
        <x:v>TEG 가공</x:v>
      </x:c>
      <x:c r="H244" s="83" t="str">
        <x:v>E-UI-MANUAL</x:v>
      </x:c>
      <x:c r="I244" s="83" t="str">
        <x:v>Drilling.UI/Menu/Menus/CMenuManual.cs</x:v>
      </x:c>
      <x:c r="J244" s="83" t="str">
        <x:v>CMenuManual</x:v>
      </x:c>
      <x:c r="K244" s="83" t="str">
        <x:v>ExecuteManualOperation</x:v>
      </x:c>
      <x:c r="L244" s="83" t="str">
        <x:v>미반영</x:v>
      </x:c>
      <x:c r="M244" s="84" t="n">
        <x:v>0.76</x:v>
      </x:c>
      <x:c r="N244" s="83" t="str">
        <x:v>전용 Driver/Sequence/UI/데이터 모델의 직접 구현 근거가 없어 신규 구현과 단위·통합·실장비 시험이 필요</x:v>
      </x:c>
    </x:row>
    <x:row r="245" ht="42" customHeight="1">
      <x:c r="A245" s="83" t="str">
        <x:v>MM-005</x:v>
      </x:c>
      <x:c r="B245" s="83" t="str">
        <x:v>TEG 가공 관리</x:v>
      </x:c>
      <x:c r="C245" s="83" t="n">
        <x:v>79</x:v>
      </x:c>
      <x:c r="D245" s="83" t="str">
        <x:v>기능</x:v>
      </x:c>
      <x:c r="E245" s="83" t="str">
        <x:v>CIRCLE/RECT Pattern 가공 구현</x:v>
      </x:c>
      <x:c r="F245" s="83" t="str">
        <x:v>06-03</x:v>
      </x:c>
      <x:c r="G245" s="83" t="str">
        <x:v>TEG 가공</x:v>
      </x:c>
      <x:c r="H245" s="83" t="str">
        <x:v>E-UI-MANUAL</x:v>
      </x:c>
      <x:c r="I245" s="83" t="str">
        <x:v>Drilling.UI/Menu/Menus/CMenuManual.cs</x:v>
      </x:c>
      <x:c r="J245" s="83" t="str">
        <x:v>CMenuManual</x:v>
      </x:c>
      <x:c r="K245" s="83" t="str">
        <x:v>ExecuteManualOperation</x:v>
      </x:c>
      <x:c r="L245" s="83" t="str">
        <x:v>미반영</x:v>
      </x:c>
      <x:c r="M245" s="84" t="n">
        <x:v>0.76</x:v>
      </x:c>
      <x:c r="N245" s="83" t="str">
        <x:v>전용 Driver/Sequence/UI/데이터 모델의 직접 구현 근거가 없어 신규 구현과 단위·통합·실장비 시험이 필요</x:v>
      </x:c>
    </x:row>
    <x:row r="246" ht="42" customHeight="1">
      <x:c r="A246" s="83" t="str">
        <x:v>MM-005</x:v>
      </x:c>
      <x:c r="B246" s="83" t="str">
        <x:v>TEG 가공 관리</x:v>
      </x:c>
      <x:c r="C246" s="83" t="n">
        <x:v>80</x:v>
      </x:c>
      <x:c r="D246" s="83" t="str">
        <x:v>기능</x:v>
      </x:c>
      <x:c r="E246" s="83" t="str">
        <x:v>RECT Pattern 가공 구현</x:v>
      </x:c>
      <x:c r="F246" s="83" t="str">
        <x:v>06-03</x:v>
      </x:c>
      <x:c r="G246" s="83" t="str">
        <x:v>TEG 가공</x:v>
      </x:c>
      <x:c r="H246" s="83" t="str">
        <x:v>E-UI-MANUAL</x:v>
      </x:c>
      <x:c r="I246" s="83" t="str">
        <x:v>Drilling.UI/Menu/Menus/CMenuManual.cs</x:v>
      </x:c>
      <x:c r="J246" s="83" t="str">
        <x:v>CMenuManual</x:v>
      </x:c>
      <x:c r="K246" s="83" t="str">
        <x:v>ExecuteManualOperation</x:v>
      </x:c>
      <x:c r="L246" s="83" t="str">
        <x:v>미반영</x:v>
      </x:c>
      <x:c r="M246" s="84" t="n">
        <x:v>0.76</x:v>
      </x:c>
      <x:c r="N246" s="83" t="str">
        <x:v>전용 Driver/Sequence/UI/데이터 모델의 직접 구현 근거가 없어 신규 구현과 단위·통합·실장비 시험이 필요</x:v>
      </x:c>
    </x:row>
    <x:row r="247" ht="42" customHeight="1">
      <x:c r="A247" s="83" t="str">
        <x:v>MM-005</x:v>
      </x:c>
      <x:c r="B247" s="83" t="str">
        <x:v>TEG 가공 관리</x:v>
      </x:c>
      <x:c r="C247" s="83" t="n">
        <x:v>81</x:v>
      </x:c>
      <x:c r="D247" s="83" t="str">
        <x:v>기능</x:v>
      </x:c>
      <x:c r="E247" s="83" t="str">
        <x:v>LINE/H-LINE/V-LINE Pattern 가공 구현</x:v>
      </x:c>
      <x:c r="F247" s="83" t="str">
        <x:v>06-03</x:v>
      </x:c>
      <x:c r="G247" s="83" t="str">
        <x:v>TEG 가공</x:v>
      </x:c>
      <x:c r="H247" s="83" t="str">
        <x:v>E-UI-MANUAL</x:v>
      </x:c>
      <x:c r="I247" s="83" t="str">
        <x:v>Drilling.UI/Menu/Menus/CMenuManual.cs</x:v>
      </x:c>
      <x:c r="J247" s="83" t="str">
        <x:v>CMenuManual</x:v>
      </x:c>
      <x:c r="K247" s="83" t="str">
        <x:v>ExecuteManualOperation</x:v>
      </x:c>
      <x:c r="L247" s="83" t="str">
        <x:v>미반영</x:v>
      </x:c>
      <x:c r="M247" s="84" t="n">
        <x:v>0.76</x:v>
      </x:c>
      <x:c r="N247" s="83" t="str">
        <x:v>전용 Driver/Sequence/UI/데이터 모델의 직접 구현 근거가 없어 신규 구현과 단위·통합·실장비 시험이 필요</x:v>
      </x:c>
    </x:row>
    <x:row r="248" ht="42" customHeight="1">
      <x:c r="A248" s="83" t="str">
        <x:v>MM-005</x:v>
      </x:c>
      <x:c r="B248" s="83" t="str">
        <x:v>TEG 가공 관리</x:v>
      </x:c>
      <x:c r="C248" s="83" t="n">
        <x:v>82</x:v>
      </x:c>
      <x:c r="D248" s="83" t="str">
        <x:v>기능</x:v>
      </x:c>
      <x:c r="E248" s="83" t="str">
        <x:v>GRID Pattern 가공 구현</x:v>
      </x:c>
      <x:c r="F248" s="83" t="str">
        <x:v>06-03</x:v>
      </x:c>
      <x:c r="G248" s="83" t="str">
        <x:v>TEG 가공</x:v>
      </x:c>
      <x:c r="H248" s="83" t="str">
        <x:v>E-UI-MANUAL</x:v>
      </x:c>
      <x:c r="I248" s="83" t="str">
        <x:v>Drilling.UI/Menu/Menus/CMenuManual.cs</x:v>
      </x:c>
      <x:c r="J248" s="83" t="str">
        <x:v>CMenuManual</x:v>
      </x:c>
      <x:c r="K248" s="83" t="str">
        <x:v>ExecuteManualOperation</x:v>
      </x:c>
      <x:c r="L248" s="83" t="str">
        <x:v>미반영</x:v>
      </x:c>
      <x:c r="M248" s="84" t="n">
        <x:v>0.76</x:v>
      </x:c>
      <x:c r="N248" s="83" t="str">
        <x:v>전용 Driver/Sequence/UI/데이터 모델의 직접 구현 근거가 없어 신규 구현과 단위·통합·실장비 시험이 필요</x:v>
      </x:c>
    </x:row>
    <x:row r="249" ht="42" customHeight="1">
      <x:c r="A249" s="83" t="str">
        <x:v>MM-006</x:v>
      </x:c>
      <x:c r="B249" s="83" t="str">
        <x:v>분기법 측정 (수동)</x:v>
      </x:c>
      <x:c r="C249" s="83" t="n">
        <x:v>55</x:v>
      </x:c>
      <x:c r="D249" s="83" t="str">
        <x:v>Sequence</x:v>
      </x:c>
      <x:c r="E249" s="83" t="str">
        <x:v>Review Step 구현</x:v>
      </x:c>
      <x:c r="F249" s="83" t="str">
        <x:v>07-08</x:v>
      </x:c>
      <x:c r="G249" s="83" t="str">
        <x:v>동적 보정·가공 Offset</x:v>
      </x:c>
      <x:c r="H249" s="83" t="str">
        <x:v>E-SEQUENCE</x:v>
      </x:c>
      <x:c r="I249" s="83" t="str">
        <x:v>Drilling.Common/Station/CStationProcess.cs</x:v>
      </x:c>
      <x:c r="J249" s="83" t="str">
        <x:v>CStationProcess</x:v>
      </x:c>
      <x:c r="K249" s="83" t="str">
        <x:v>RunPreCheck</x:v>
      </x:c>
      <x:c r="L249" s="83" t="str">
        <x:v>유사하나 불충분</x:v>
      </x:c>
      <x:c r="M249" s="84" t="n">
        <x:v>0.77</x:v>
      </x:c>
      <x:c r="N249" s="83" t="str">
        <x:v>유사 UI/기초 로직은 있으나 고객 대상·조건·데이터·적용방식이 달라 사양확정과 전용 로직·검증이 필요</x:v>
      </x:c>
    </x:row>
    <x:row r="250" ht="42" customHeight="1">
      <x:c r="A250" s="83" t="str">
        <x:v>MM-006</x:v>
      </x:c>
      <x:c r="B250" s="83" t="str">
        <x:v>분기법 측정 (수동)</x:v>
      </x:c>
      <x:c r="C250" s="83" t="n">
        <x:v>55</x:v>
      </x:c>
      <x:c r="D250" s="83" t="str">
        <x:v>Sequence</x:v>
      </x:c>
      <x:c r="E250" s="83" t="str">
        <x:v>Review Step 구현</x:v>
      </x:c>
      <x:c r="F250" s="83" t="str">
        <x:v>07-04</x:v>
      </x:c>
      <x:c r="G250" s="83" t="str">
        <x:v>Review 기준점·Branch</x:v>
      </x:c>
      <x:c r="H250" s="83" t="str">
        <x:v>E-SEQUENCE</x:v>
      </x:c>
      <x:c r="I250" s="83" t="str">
        <x:v>Drilling.Common/Station/CStationProcess.cs</x:v>
      </x:c>
      <x:c r="J250" s="83" t="str">
        <x:v>CStationProcess</x:v>
      </x:c>
      <x:c r="K250" s="83" t="str">
        <x:v>RunPreCheck</x:v>
      </x:c>
      <x:c r="L250" s="83" t="str">
        <x:v>유사하나 불충분</x:v>
      </x:c>
      <x:c r="M250" s="84" t="n">
        <x:v>0.77</x:v>
      </x:c>
      <x:c r="N250" s="83" t="str">
        <x:v>유사 UI/기초 로직은 있으나 고객 대상·조건·데이터·적용방식이 달라 사양확정과 전용 로직·검증이 필요</x:v>
      </x:c>
    </x:row>
    <x:row r="251" ht="42" customHeight="1">
      <x:c r="A251" s="83" t="str">
        <x:v>MM-006</x:v>
      </x:c>
      <x:c r="B251" s="83" t="str">
        <x:v>분기법 측정 (수동)</x:v>
      </x:c>
      <x:c r="C251" s="83" t="n">
        <x:v>89</x:v>
      </x:c>
      <x:c r="D251" s="83" t="str">
        <x:v>기능</x:v>
      </x:c>
      <x:c r="E251" s="83" t="str">
        <x:v>Review - 측정 명령 구현</x:v>
      </x:c>
      <x:c r="F251" s="83" t="str">
        <x:v>07-08</x:v>
      </x:c>
      <x:c r="G251" s="83" t="str">
        <x:v>동적 보정·가공 Offset</x:v>
      </x:c>
      <x:c r="H251" s="83" t="str">
        <x:v>E-REVIEW</x:v>
      </x:c>
      <x:c r="I251" s="83" t="str">
        <x:v>Drilling.Common/Review/CReviewManager.cs</x:v>
      </x:c>
      <x:c r="J251" s="83" t="str">
        <x:v>CReviewManager</x:v>
      </x:c>
      <x:c r="K251" s="83" t="str">
        <x:v>CreatePlan</x:v>
      </x:c>
      <x:c r="L251" s="83" t="str">
        <x:v>유사하나 불충분</x:v>
      </x:c>
      <x:c r="M251" s="84" t="n">
        <x:v>0.77</x:v>
      </x:c>
      <x:c r="N251" s="83" t="str">
        <x:v>유사 UI/기초 로직은 있으나 고객 대상·조건·데이터·적용방식이 달라 사양확정과 전용 로직·검증이 필요</x:v>
      </x:c>
    </x:row>
    <x:row r="252" ht="42" customHeight="1">
      <x:c r="A252" s="83" t="str">
        <x:v>MM-006</x:v>
      </x:c>
      <x:c r="B252" s="83" t="str">
        <x:v>분기법 측정 (수동)</x:v>
      </x:c>
      <x:c r="C252" s="83" t="n">
        <x:v>89</x:v>
      </x:c>
      <x:c r="D252" s="83" t="str">
        <x:v>기능</x:v>
      </x:c>
      <x:c r="E252" s="83" t="str">
        <x:v>Review - 측정 명령 구현</x:v>
      </x:c>
      <x:c r="F252" s="83" t="str">
        <x:v>07-04</x:v>
      </x:c>
      <x:c r="G252" s="83" t="str">
        <x:v>Review 기준점·Branch</x:v>
      </x:c>
      <x:c r="H252" s="83" t="str">
        <x:v>E-REVIEW</x:v>
      </x:c>
      <x:c r="I252" s="83" t="str">
        <x:v>Drilling.Common/Review/CReviewManager.cs</x:v>
      </x:c>
      <x:c r="J252" s="83" t="str">
        <x:v>CReviewManager</x:v>
      </x:c>
      <x:c r="K252" s="83" t="str">
        <x:v>CreatePlan</x:v>
      </x:c>
      <x:c r="L252" s="83" t="str">
        <x:v>유사하나 불충분</x:v>
      </x:c>
      <x:c r="M252" s="84" t="n">
        <x:v>0.77</x:v>
      </x:c>
      <x:c r="N252" s="83" t="str">
        <x:v>유사 UI/기초 로직은 있으나 고객 대상·조건·데이터·적용방식이 달라 사양확정과 전용 로직·검증이 필요</x:v>
      </x:c>
    </x:row>
    <x:row r="253" ht="42" customHeight="1">
      <x:c r="A253" s="83" t="str">
        <x:v>MM-006</x:v>
      </x:c>
      <x:c r="B253" s="83" t="str">
        <x:v>분기법 측정 (수동)</x:v>
      </x:c>
      <x:c r="C253" s="83" t="n">
        <x:v>90</x:v>
      </x:c>
      <x:c r="D253" s="83" t="str">
        <x:v>기능</x:v>
      </x:c>
      <x:c r="E253" s="83" t="str">
        <x:v>Review - 좌표 처리 구현</x:v>
      </x:c>
      <x:c r="F253" s="83" t="str">
        <x:v>07-08</x:v>
      </x:c>
      <x:c r="G253" s="83" t="str">
        <x:v>동적 보정·가공 Offset</x:v>
      </x:c>
      <x:c r="H253" s="83" t="str">
        <x:v>E-REVIEW</x:v>
      </x:c>
      <x:c r="I253" s="83" t="str">
        <x:v>Drilling.Common/Review/CReviewManager.cs</x:v>
      </x:c>
      <x:c r="J253" s="83" t="str">
        <x:v>CReviewManager</x:v>
      </x:c>
      <x:c r="K253" s="83" t="str">
        <x:v>CreatePlan</x:v>
      </x:c>
      <x:c r="L253" s="83" t="str">
        <x:v>유사하나 불충분</x:v>
      </x:c>
      <x:c r="M253" s="84" t="n">
        <x:v>0.77</x:v>
      </x:c>
      <x:c r="N253" s="83" t="str">
        <x:v>유사 UI/기초 로직은 있으나 고객 대상·조건·데이터·적용방식이 달라 사양확정과 전용 로직·검증이 필요</x:v>
      </x:c>
    </x:row>
    <x:row r="254" ht="42" customHeight="1">
      <x:c r="A254" s="83" t="str">
        <x:v>MM-006</x:v>
      </x:c>
      <x:c r="B254" s="83" t="str">
        <x:v>분기법 측정 (수동)</x:v>
      </x:c>
      <x:c r="C254" s="83" t="n">
        <x:v>90</x:v>
      </x:c>
      <x:c r="D254" s="83" t="str">
        <x:v>기능</x:v>
      </x:c>
      <x:c r="E254" s="83" t="str">
        <x:v>Review - 좌표 처리 구현</x:v>
      </x:c>
      <x:c r="F254" s="83" t="str">
        <x:v>07-04</x:v>
      </x:c>
      <x:c r="G254" s="83" t="str">
        <x:v>Review 기준점·Branch</x:v>
      </x:c>
      <x:c r="H254" s="83" t="str">
        <x:v>E-REVIEW</x:v>
      </x:c>
      <x:c r="I254" s="83" t="str">
        <x:v>Drilling.Common/Review/CReviewManager.cs</x:v>
      </x:c>
      <x:c r="J254" s="83" t="str">
        <x:v>CReviewManager</x:v>
      </x:c>
      <x:c r="K254" s="83" t="str">
        <x:v>CreatePlan</x:v>
      </x:c>
      <x:c r="L254" s="83" t="str">
        <x:v>유사하나 불충분</x:v>
      </x:c>
      <x:c r="M254" s="84" t="n">
        <x:v>0.77</x:v>
      </x:c>
      <x:c r="N254" s="83" t="str">
        <x:v>유사 UI/기초 로직은 있으나 고객 대상·조건·데이터·적용방식이 달라 사양확정과 전용 로직·검증이 필요</x:v>
      </x:c>
    </x:row>
    <x:row r="255" ht="42" customHeight="1">
      <x:c r="A255" s="83" t="str">
        <x:v>MM-006</x:v>
      </x:c>
      <x:c r="B255" s="83" t="str">
        <x:v>분기법 측정 (수동)</x:v>
      </x:c>
      <x:c r="C255" s="83" t="n">
        <x:v>113</x:v>
      </x:c>
      <x:c r="D255" s="83" t="str">
        <x:v>기능</x:v>
      </x:c>
      <x:c r="E255" s="83" t="str">
        <x:v>Distortion Key 6개 - 데이터 모델 반영 구현</x:v>
      </x:c>
      <x:c r="F255" s="83" t="str">
        <x:v>07-08</x:v>
      </x:c>
      <x:c r="G255" s="83" t="str">
        <x:v>동적 보정·가공 Offset</x:v>
      </x:c>
      <x:c r="H255" s="83" t="str">
        <x:v>E-DISTORTION</x:v>
      </x:c>
      <x:c r="I255" s="83" t="str">
        <x:v>Drilling.UI/Menu/Menus/CMenuRecipe.cs</x:v>
      </x:c>
      <x:c r="J255" s="83" t="str">
        <x:v>CMenuRecipe</x:v>
      </x:c>
      <x:c r="K255" s="83" t="str">
        <x:v>DISTORTION_KEY</x:v>
      </x:c>
      <x:c r="L255" s="83" t="str">
        <x:v>유사하나 불충분</x:v>
      </x:c>
      <x:c r="M255" s="84" t="n">
        <x:v>0.77</x:v>
      </x:c>
      <x:c r="N255" s="83" t="str">
        <x:v>유사 UI/기초 로직은 있으나 고객 대상·조건·데이터·적용방식이 달라 사양확정과 전용 로직·검증이 필요</x:v>
      </x:c>
    </x:row>
    <x:row r="256" ht="42" customHeight="1">
      <x:c r="A256" s="83" t="str">
        <x:v>MM-006</x:v>
      </x:c>
      <x:c r="B256" s="83" t="str">
        <x:v>분기법 측정 (수동)</x:v>
      </x:c>
      <x:c r="C256" s="83" t="n">
        <x:v>113</x:v>
      </x:c>
      <x:c r="D256" s="83" t="str">
        <x:v>기능</x:v>
      </x:c>
      <x:c r="E256" s="83" t="str">
        <x:v>Distortion Key 6개 - 데이터 모델 반영 구현</x:v>
      </x:c>
      <x:c r="F256" s="83" t="str">
        <x:v>07-04</x:v>
      </x:c>
      <x:c r="G256" s="83" t="str">
        <x:v>Review 기준점·Branch</x:v>
      </x:c>
      <x:c r="H256" s="83" t="str">
        <x:v>E-DISTORTION</x:v>
      </x:c>
      <x:c r="I256" s="83" t="str">
        <x:v>Drilling.UI/Menu/Menus/CMenuRecipe.cs</x:v>
      </x:c>
      <x:c r="J256" s="83" t="str">
        <x:v>CMenuRecipe</x:v>
      </x:c>
      <x:c r="K256" s="83" t="str">
        <x:v>DISTORTION_KEY</x:v>
      </x:c>
      <x:c r="L256" s="83" t="str">
        <x:v>유사하나 불충분</x:v>
      </x:c>
      <x:c r="M256" s="84" t="n">
        <x:v>0.77</x:v>
      </x:c>
      <x:c r="N256" s="83" t="str">
        <x:v>유사 UI/기초 로직은 있으나 고객 대상·조건·데이터·적용방식이 달라 사양확정과 전용 로직·검증이 필요</x:v>
      </x:c>
    </x:row>
    <x:row r="257" ht="42" customHeight="1">
      <x:c r="A257" s="83" t="str">
        <x:v>MM-007</x:v>
      </x:c>
      <x:c r="B257" s="83" t="str">
        <x:v>MOF 위치 모니터링</x:v>
      </x:c>
      <x:c r="C257" s="83" t="n">
        <x:v>6</x:v>
      </x:c>
      <x:c r="D257" s="83" t="str">
        <x:v>UI</x:v>
      </x:c>
      <x:c r="E257" s="83" t="str">
        <x:v>Manual 화면 - Stage 화면 구현</x:v>
      </x:c>
      <x:c r="F257" s="83" t="str">
        <x:v>06-04</x:v>
      </x:c>
      <x:c r="G257" s="83" t="str">
        <x:v>Manual IOF·P-to-P 검사</x:v>
      </x:c>
      <x:c r="H257" s="83" t="str">
        <x:v>E-UI-MANUAL</x:v>
      </x:c>
      <x:c r="I257" s="83" t="str">
        <x:v>Drilling.UI/Menu/Menus/CMenuManual.cs</x:v>
      </x:c>
      <x:c r="J257" s="83" t="str">
        <x:v>CMenuManual</x:v>
      </x:c>
      <x:c r="K257" s="83" t="str">
        <x:v>ExecuteManualOperation</x:v>
      </x:c>
      <x:c r="L257" s="83" t="str">
        <x:v>부분 반영</x:v>
      </x:c>
      <x:c r="M257" s="84" t="n">
        <x:v>0.77</x:v>
      </x:c>
      <x:c r="N257" s="83" t="str">
        <x:v>일부 구현은 확인되나 실장비 연동, Timeout/Alarm/Recovery, 저장·복원 또는 고객 수용시험 증빙이 부족</x:v>
      </x:c>
    </x:row>
    <x:row r="258" ht="42" customHeight="1">
      <x:c r="A258" s="83" t="str">
        <x:v>MM-007</x:v>
      </x:c>
      <x:c r="B258" s="83" t="str">
        <x:v>MOF 위치 모니터링</x:v>
      </x:c>
      <x:c r="C258" s="83" t="n">
        <x:v>7</x:v>
      </x:c>
      <x:c r="D258" s="83" t="str">
        <x:v>UI</x:v>
      </x:c>
      <x:c r="E258" s="83" t="str">
        <x:v>Manual 화면 - Vision 화면 구현</x:v>
      </x:c>
      <x:c r="F258" s="83" t="str">
        <x:v>06-04</x:v>
      </x:c>
      <x:c r="G258" s="83" t="str">
        <x:v>Manual IOF·P-to-P 검사</x:v>
      </x:c>
      <x:c r="H258" s="83" t="str">
        <x:v>E-UI-MANUAL</x:v>
      </x:c>
      <x:c r="I258" s="83" t="str">
        <x:v>Drilling.UI/Menu/Menus/CMenuManual.cs</x:v>
      </x:c>
      <x:c r="J258" s="83" t="str">
        <x:v>CMenuManual</x:v>
      </x:c>
      <x:c r="K258" s="83" t="str">
        <x:v>ExecuteManualOperation</x:v>
      </x:c>
      <x:c r="L258" s="83" t="str">
        <x:v>부분 반영</x:v>
      </x:c>
      <x:c r="M258" s="84" t="n">
        <x:v>0.77</x:v>
      </x:c>
      <x:c r="N258" s="83" t="str">
        <x:v>일부 구현은 확인되나 실장비 연동, Timeout/Alarm/Recovery, 저장·복원 또는 고객 수용시험 증빙이 부족</x:v>
      </x:c>
    </x:row>
    <x:row r="259" ht="42" customHeight="1">
      <x:c r="A259" s="83" t="str">
        <x:v>MM-007</x:v>
      </x:c>
      <x:c r="B259" s="83" t="str">
        <x:v>MOF 위치 모니터링</x:v>
      </x:c>
      <x:c r="C259" s="83" t="n">
        <x:v>17</x:v>
      </x:c>
      <x:c r="D259" s="83" t="str">
        <x:v>UI</x:v>
      </x:c>
      <x:c r="E259" s="83" t="str">
        <x:v>Monitoring - BET 화면 구현</x:v>
      </x:c>
      <x:c r="F259" s="83" t="str">
        <x:v>06-04</x:v>
      </x:c>
      <x:c r="G259" s="83" t="str">
        <x:v>Manual IOF·P-to-P 검사</x:v>
      </x:c>
      <x:c r="H259" s="83" t="str">
        <x:v>E-UI-MONITOR</x:v>
      </x:c>
      <x:c r="I259" s="83" t="str">
        <x:v>Drilling.UI/Menu/Menus/CMenuMonitor.cs</x:v>
      </x:c>
      <x:c r="J259" s="83" t="str">
        <x:v>CMenuMonitor</x:v>
      </x:c>
      <x:c r="K259" s="83" t="str">
        <x:v>RefreshLiveData</x:v>
      </x:c>
      <x:c r="L259" s="83" t="str">
        <x:v>부분 반영</x:v>
      </x:c>
      <x:c r="M259" s="84" t="n">
        <x:v>0.77</x:v>
      </x:c>
      <x:c r="N259" s="83" t="str">
        <x:v>일부 구현은 확인되나 실장비 연동, Timeout/Alarm/Recovery, 저장·복원 또는 고객 수용시험 증빙이 부족</x:v>
      </x:c>
    </x:row>
    <x:row r="260" ht="42" customHeight="1">
      <x:c r="A260" s="83" t="str">
        <x:v>MM-007</x:v>
      </x:c>
      <x:c r="B260" s="83" t="str">
        <x:v>MOF 위치 모니터링</x:v>
      </x:c>
      <x:c r="C260" s="83" t="n">
        <x:v>83</x:v>
      </x:c>
      <x:c r="D260" s="83" t="str">
        <x:v>기능</x:v>
      </x:c>
      <x:c r="E260" s="83" t="str">
        <x:v>Manual 화면 내 Stage 관련 기능 구현</x:v>
      </x:c>
      <x:c r="F260" s="83" t="str">
        <x:v>06-04</x:v>
      </x:c>
      <x:c r="G260" s="83" t="str">
        <x:v>Manual IOF·P-to-P 검사</x:v>
      </x:c>
      <x:c r="H260" s="83" t="str">
        <x:v>E-UI-MANUAL</x:v>
      </x:c>
      <x:c r="I260" s="83" t="str">
        <x:v>Drilling.UI/Menu/Menus/CMenuManual.cs</x:v>
      </x:c>
      <x:c r="J260" s="83" t="str">
        <x:v>CMenuManual</x:v>
      </x:c>
      <x:c r="K260" s="83" t="str">
        <x:v>ExecuteManualOperation</x:v>
      </x:c>
      <x:c r="L260" s="83" t="str">
        <x:v>부분 반영</x:v>
      </x:c>
      <x:c r="M260" s="84" t="n">
        <x:v>0.77</x:v>
      </x:c>
      <x:c r="N260" s="83" t="str">
        <x:v>일부 구현은 확인되나 실장비 연동, Timeout/Alarm/Recovery, 저장·복원 또는 고객 수용시험 증빙이 부족</x:v>
      </x:c>
    </x:row>
    <x:row r="261" ht="42" customHeight="1">
      <x:c r="A261" s="83" t="str">
        <x:v>MM-007</x:v>
      </x:c>
      <x:c r="B261" s="83" t="str">
        <x:v>MOF 위치 모니터링</x:v>
      </x:c>
      <x:c r="C261" s="83" t="n">
        <x:v>84</x:v>
      </x:c>
      <x:c r="D261" s="83" t="str">
        <x:v>기능</x:v>
      </x:c>
      <x:c r="E261" s="83" t="str">
        <x:v>Manual 화면 내 Vision 관련 기능 구현</x:v>
      </x:c>
      <x:c r="F261" s="83" t="str">
        <x:v>06-04</x:v>
      </x:c>
      <x:c r="G261" s="83" t="str">
        <x:v>Manual IOF·P-to-P 검사</x:v>
      </x:c>
      <x:c r="H261" s="83" t="str">
        <x:v>E-UI-MANUAL</x:v>
      </x:c>
      <x:c r="I261" s="83" t="str">
        <x:v>Drilling.UI/Menu/Menus/CMenuManual.cs</x:v>
      </x:c>
      <x:c r="J261" s="83" t="str">
        <x:v>CMenuManual</x:v>
      </x:c>
      <x:c r="K261" s="83" t="str">
        <x:v>ExecuteManualOperation</x:v>
      </x:c>
      <x:c r="L261" s="83" t="str">
        <x:v>부분 반영</x:v>
      </x:c>
      <x:c r="M261" s="84" t="n">
        <x:v>0.77</x:v>
      </x:c>
      <x:c r="N261" s="83" t="str">
        <x:v>일부 구현은 확인되나 실장비 연동, Timeout/Alarm/Recovery, 저장·복원 또는 고객 수용시험 증빙이 부족</x:v>
      </x:c>
    </x:row>
    <x:row r="262" ht="42" customHeight="1">
      <x:c r="A262" s="83" t="str">
        <x:v>MM-008</x:v>
      </x:c>
      <x:c r="B262" s="83" t="str">
        <x:v>MOF 모션 제어</x:v>
      </x:c>
      <x:c r="C262" s="83" t="n">
        <x:v>6</x:v>
      </x:c>
      <x:c r="D262" s="83" t="str">
        <x:v>UI</x:v>
      </x:c>
      <x:c r="E262" s="83" t="str">
        <x:v>Manual 화면 - Stage 화면 구현</x:v>
      </x:c>
      <x:c r="F262" s="83" t="str">
        <x:v>06-04</x:v>
      </x:c>
      <x:c r="G262" s="83" t="str">
        <x:v>Manual IOF·P-to-P 검사</x:v>
      </x:c>
      <x:c r="H262" s="83" t="str">
        <x:v>E-UI-MANUAL</x:v>
      </x:c>
      <x:c r="I262" s="83" t="str">
        <x:v>Drilling.UI/Menu/Menus/CMenuManual.cs</x:v>
      </x:c>
      <x:c r="J262" s="83" t="str">
        <x:v>CMenuManual</x:v>
      </x:c>
      <x:c r="K262" s="83" t="str">
        <x:v>ExecuteManualOperation</x:v>
      </x:c>
      <x:c r="L262" s="83" t="str">
        <x:v>부분 반영</x:v>
      </x:c>
      <x:c r="M262" s="84" t="n">
        <x:v>0.69</x:v>
      </x:c>
      <x:c r="N262" s="83" t="str">
        <x:v>일부 구현은 확인되나 실장비 연동, Timeout/Alarm/Recovery, 저장·복원 또는 고객 수용시험 증빙이 부족</x:v>
      </x:c>
    </x:row>
    <x:row r="263" ht="42" customHeight="1">
      <x:c r="A263" s="83" t="str">
        <x:v>MM-008</x:v>
      </x:c>
      <x:c r="B263" s="83" t="str">
        <x:v>MOF 모션 제어</x:v>
      </x:c>
      <x:c r="C263" s="83" t="n">
        <x:v>7</x:v>
      </x:c>
      <x:c r="D263" s="83" t="str">
        <x:v>UI</x:v>
      </x:c>
      <x:c r="E263" s="83" t="str">
        <x:v>Manual 화면 - Vision 화면 구현</x:v>
      </x:c>
      <x:c r="F263" s="83" t="str">
        <x:v>06-04</x:v>
      </x:c>
      <x:c r="G263" s="83" t="str">
        <x:v>Manual IOF·P-to-P 검사</x:v>
      </x:c>
      <x:c r="H263" s="83" t="str">
        <x:v>E-UI-MANUAL</x:v>
      </x:c>
      <x:c r="I263" s="83" t="str">
        <x:v>Drilling.UI/Menu/Menus/CMenuManual.cs</x:v>
      </x:c>
      <x:c r="J263" s="83" t="str">
        <x:v>CMenuManual</x:v>
      </x:c>
      <x:c r="K263" s="83" t="str">
        <x:v>ExecuteManualOperation</x:v>
      </x:c>
      <x:c r="L263" s="83" t="str">
        <x:v>부분 반영</x:v>
      </x:c>
      <x:c r="M263" s="84" t="n">
        <x:v>0.69</x:v>
      </x:c>
      <x:c r="N263" s="83" t="str">
        <x:v>일부 구현은 확인되나 실장비 연동, Timeout/Alarm/Recovery, 저장·복원 또는 고객 수용시험 증빙이 부족</x:v>
      </x:c>
    </x:row>
    <x:row r="264" ht="42" customHeight="1">
      <x:c r="A264" s="83" t="str">
        <x:v>MM-008</x:v>
      </x:c>
      <x:c r="B264" s="83" t="str">
        <x:v>MOF 모션 제어</x:v>
      </x:c>
      <x:c r="C264" s="83" t="n">
        <x:v>25</x:v>
      </x:c>
      <x:c r="D264" s="83" t="str">
        <x:v>통신</x:v>
      </x:c>
      <x:c r="E264" s="83" t="str">
        <x:v>XPS Motion Controller 연동 기능 구현</x:v>
      </x:c>
      <x:c r="F264" s="83" t="str">
        <x:v>06-04</x:v>
      </x:c>
      <x:c r="G264" s="83" t="str">
        <x:v>Manual IOF·P-to-P 검사</x:v>
      </x:c>
      <x:c r="H264" s="83" t="str">
        <x:v>E-XPS</x:v>
      </x:c>
      <x:c r="I264" s="83" t="str">
        <x:v>Drilling.Common/Motion/XPS/CXpsMotion.cs</x:v>
      </x:c>
      <x:c r="J264" s="83" t="str">
        <x:v>CXpsMotion</x:v>
      </x:c>
      <x:c r="K264" s="83" t="str">
        <x:v>MoveAbs</x:v>
      </x:c>
      <x:c r="L264" s="83" t="str">
        <x:v>부분 반영</x:v>
      </x:c>
      <x:c r="M264" s="84" t="n">
        <x:v>0.69</x:v>
      </x:c>
      <x:c r="N264" s="83" t="str">
        <x:v>일부 구현은 확인되나 실장비 연동, Timeout/Alarm/Recovery, 저장·복원 또는 고객 수용시험 증빙이 부족</x:v>
      </x:c>
    </x:row>
    <x:row r="265" ht="42" customHeight="1">
      <x:c r="A265" s="83" t="str">
        <x:v>MM-008</x:v>
      </x:c>
      <x:c r="B265" s="83" t="str">
        <x:v>MOF 모션 제어</x:v>
      </x:c>
      <x:c r="C265" s="83" t="n">
        <x:v>83</x:v>
      </x:c>
      <x:c r="D265" s="83" t="str">
        <x:v>기능</x:v>
      </x:c>
      <x:c r="E265" s="83" t="str">
        <x:v>Manual 화면 내 Stage 관련 기능 구현</x:v>
      </x:c>
      <x:c r="F265" s="83" t="str">
        <x:v>06-04</x:v>
      </x:c>
      <x:c r="G265" s="83" t="str">
        <x:v>Manual IOF·P-to-P 검사</x:v>
      </x:c>
      <x:c r="H265" s="83" t="str">
        <x:v>E-UI-MANUAL</x:v>
      </x:c>
      <x:c r="I265" s="83" t="str">
        <x:v>Drilling.UI/Menu/Menus/CMenuManual.cs</x:v>
      </x:c>
      <x:c r="J265" s="83" t="str">
        <x:v>CMenuManual</x:v>
      </x:c>
      <x:c r="K265" s="83" t="str">
        <x:v>ExecuteManualOperation</x:v>
      </x:c>
      <x:c r="L265" s="83" t="str">
        <x:v>부분 반영</x:v>
      </x:c>
      <x:c r="M265" s="84" t="n">
        <x:v>0.69</x:v>
      </x:c>
      <x:c r="N265" s="83" t="str">
        <x:v>일부 구현은 확인되나 실장비 연동, Timeout/Alarm/Recovery, 저장·복원 또는 고객 수용시험 증빙이 부족</x:v>
      </x:c>
    </x:row>
    <x:row r="266" ht="42" customHeight="1">
      <x:c r="A266" s="83" t="str">
        <x:v>MM-008</x:v>
      </x:c>
      <x:c r="B266" s="83" t="str">
        <x:v>MOF 모션 제어</x:v>
      </x:c>
      <x:c r="C266" s="83" t="n">
        <x:v>84</x:v>
      </x:c>
      <x:c r="D266" s="83" t="str">
        <x:v>기능</x:v>
      </x:c>
      <x:c r="E266" s="83" t="str">
        <x:v>Manual 화면 내 Vision 관련 기능 구현</x:v>
      </x:c>
      <x:c r="F266" s="83" t="str">
        <x:v>06-04</x:v>
      </x:c>
      <x:c r="G266" s="83" t="str">
        <x:v>Manual IOF·P-to-P 검사</x:v>
      </x:c>
      <x:c r="H266" s="83" t="str">
        <x:v>E-UI-MANUAL</x:v>
      </x:c>
      <x:c r="I266" s="83" t="str">
        <x:v>Drilling.UI/Menu/Menus/CMenuManual.cs</x:v>
      </x:c>
      <x:c r="J266" s="83" t="str">
        <x:v>CMenuManual</x:v>
      </x:c>
      <x:c r="K266" s="83" t="str">
        <x:v>ExecuteManualOperation</x:v>
      </x:c>
      <x:c r="L266" s="83" t="str">
        <x:v>부분 반영</x:v>
      </x:c>
      <x:c r="M266" s="84" t="n">
        <x:v>0.69</x:v>
      </x:c>
      <x:c r="N266" s="83" t="str">
        <x:v>일부 구현은 확인되나 실장비 연동, Timeout/Alarm/Recovery, 저장·복원 또는 고객 수용시험 증빙이 부족</x:v>
      </x:c>
    </x:row>
    <x:row r="267" ht="42" customHeight="1">
      <x:c r="A267" s="83" t="str">
        <x:v>MM-009</x:v>
      </x:c>
      <x:c r="B267" s="83" t="str">
        <x:v>MOF 대상 Head 선택</x:v>
      </x:c>
      <x:c r="C267" s="83" t="n">
        <x:v>5</x:v>
      </x:c>
      <x:c r="D267" s="83" t="str">
        <x:v>UI</x:v>
      </x:c>
      <x:c r="E267" s="83" t="str">
        <x:v>Manual 화면 - Scanner 화면 구현</x:v>
      </x:c>
      <x:c r="F267" s="83" t="str">
        <x:v>08-08</x:v>
      </x:c>
      <x:c r="G267" s="83" t="str">
        <x:v>Head 사용/미사용·1/8 Head 시험</x:v>
      </x:c>
      <x:c r="H267" s="83" t="str">
        <x:v>E-UI-MANUAL</x:v>
      </x:c>
      <x:c r="I267" s="83" t="str">
        <x:v>Drilling.UI/Menu/Menus/CMenuManual.cs</x:v>
      </x:c>
      <x:c r="J267" s="83" t="str">
        <x:v>CMenuManual</x:v>
      </x:c>
      <x:c r="K267" s="83" t="str">
        <x:v>ExecuteManualOperation</x:v>
      </x:c>
      <x:c r="L267" s="83" t="str">
        <x:v>부분 반영</x:v>
      </x:c>
      <x:c r="M267" s="84" t="n">
        <x:v>0.76</x:v>
      </x:c>
      <x:c r="N267" s="83" t="str">
        <x:v>일부 구현은 확인되나 실장비 연동, Timeout/Alarm/Recovery, 저장·복원 또는 고객 수용시험 증빙이 부족</x:v>
      </x:c>
    </x:row>
    <x:row r="268" ht="42" customHeight="1">
      <x:c r="A268" s="83" t="str">
        <x:v>MM-009</x:v>
      </x:c>
      <x:c r="B268" s="83" t="str">
        <x:v>MOF 대상 Head 선택</x:v>
      </x:c>
      <x:c r="C268" s="83" t="n">
        <x:v>77</x:v>
      </x:c>
      <x:c r="D268" s="83" t="str">
        <x:v>기능</x:v>
      </x:c>
      <x:c r="E268" s="83" t="str">
        <x:v>Manual 화면 내 Scanner 관련 기능 구현</x:v>
      </x:c>
      <x:c r="F268" s="83" t="str">
        <x:v>08-08</x:v>
      </x:c>
      <x:c r="G268" s="83" t="str">
        <x:v>Head 사용/미사용·1/8 Head 시험</x:v>
      </x:c>
      <x:c r="H268" s="83" t="str">
        <x:v>E-UI-MANUAL</x:v>
      </x:c>
      <x:c r="I268" s="83" t="str">
        <x:v>Drilling.UI/Menu/Menus/CMenuManual.cs</x:v>
      </x:c>
      <x:c r="J268" s="83" t="str">
        <x:v>CMenuManual</x:v>
      </x:c>
      <x:c r="K268" s="83" t="str">
        <x:v>ExecuteManualOperation</x:v>
      </x:c>
      <x:c r="L268" s="83" t="str">
        <x:v>부분 반영</x:v>
      </x:c>
      <x:c r="M268" s="84" t="n">
        <x:v>0.76</x:v>
      </x:c>
      <x:c r="N268" s="83" t="str">
        <x:v>일부 구현은 확인되나 실장비 연동, Timeout/Alarm/Recovery, 저장·복원 또는 고객 수용시험 증빙이 부족</x:v>
      </x:c>
    </x:row>
    <x:row r="269" ht="42" customHeight="1">
      <x:c r="A269" s="83" t="str">
        <x:v>RD-001</x:v>
      </x:c>
      <x:c r="B269" s="83" t="str">
        <x:v>Recipe 리스트 관리</x:v>
      </x:c>
      <x:c r="C269" s="83" t="n">
        <x:v>8</x:v>
      </x:c>
      <x:c r="D269" s="83" t="str">
        <x:v>UI</x:v>
      </x:c>
      <x:c r="E269" s="83" t="str">
        <x:v>Recipe 화면 - 파일 관리 구현</x:v>
      </x:c>
      <x:c r="F269" s="83" t="str">
        <x:v>04-01</x:v>
      </x:c>
      <x:c r="G269" s="83" t="str">
        <x:v>Recipe CRUD·검증</x:v>
      </x:c>
      <x:c r="H269" s="83" t="str">
        <x:v>E-UI-RECIPE</x:v>
      </x:c>
      <x:c r="I269" s="83" t="str">
        <x:v>Drilling.UI/Menu/Menus/CMenuRecipe.cs</x:v>
      </x:c>
      <x:c r="J269" s="83" t="str">
        <x:v>CMenuRecipe</x:v>
      </x:c>
      <x:c r="K269" s="83" t="str">
        <x:v>Save()</x:v>
      </x:c>
      <x:c r="L269" s="83" t="str">
        <x:v>부분 반영</x:v>
      </x:c>
      <x:c r="M269" s="84" t="n">
        <x:v>0.86</x:v>
      </x:c>
      <x:c r="N269" s="83" t="str">
        <x:v>일부 구현은 확인되나 실장비 연동, Timeout/Alarm/Recovery, 저장·복원 또는 고객 수용시험 증빙이 부족</x:v>
      </x:c>
    </x:row>
    <x:row r="270" ht="42" customHeight="1">
      <x:c r="A270" s="83" t="str">
        <x:v>RD-001</x:v>
      </x:c>
      <x:c r="B270" s="83" t="str">
        <x:v>Recipe 리스트 관리</x:v>
      </x:c>
      <x:c r="C270" s="83" t="n">
        <x:v>93</x:v>
      </x:c>
      <x:c r="D270" s="83" t="str">
        <x:v>기능</x:v>
      </x:c>
      <x:c r="E270" s="83" t="str">
        <x:v>Recipe 목록 및 관리 기능 구현</x:v>
      </x:c>
      <x:c r="F270" s="83" t="str">
        <x:v>04-01</x:v>
      </x:c>
      <x:c r="G270" s="83" t="str">
        <x:v>Recipe CRUD·검증</x:v>
      </x:c>
      <x:c r="H270" s="83" t="str">
        <x:v>E-RECIPE-FILE</x:v>
      </x:c>
      <x:c r="I270" s="83" t="str">
        <x:v>Drilling.File/JHMI/CJhmiRecipeFile.cs</x:v>
      </x:c>
      <x:c r="J270" s="83" t="str">
        <x:v>CJhmiRecipeFile</x:v>
      </x:c>
      <x:c r="K270" s="83" t="str">
        <x:v>Save</x:v>
      </x:c>
      <x:c r="L270" s="83" t="str">
        <x:v>부분 반영</x:v>
      </x:c>
      <x:c r="M270" s="84" t="n">
        <x:v>0.86</x:v>
      </x:c>
      <x:c r="N270" s="83" t="str">
        <x:v>일부 구현은 확인되나 실장비 연동, Timeout/Alarm/Recovery, 저장·복원 또는 고객 수용시험 증빙이 부족</x:v>
      </x:c>
    </x:row>
    <x:row r="271" ht="42" customHeight="1">
      <x:c r="A271" s="83" t="str">
        <x:v>RD-001</x:v>
      </x:c>
      <x:c r="B271" s="83" t="str">
        <x:v>Recipe 리스트 관리</x:v>
      </x:c>
      <x:c r="C271" s="83" t="n">
        <x:v>95</x:v>
      </x:c>
      <x:c r="D271" s="83" t="str">
        <x:v>기능</x:v>
      </x:c>
      <x:c r="E271" s="83" t="str">
        <x:v>Recipe Parameter 수정·저장 기능 구현</x:v>
      </x:c>
      <x:c r="F271" s="83" t="str">
        <x:v>04-01</x:v>
      </x:c>
      <x:c r="G271" s="83" t="str">
        <x:v>Recipe CRUD·검증</x:v>
      </x:c>
      <x:c r="H271" s="83" t="str">
        <x:v>E-RECIPE-FILE</x:v>
      </x:c>
      <x:c r="I271" s="83" t="str">
        <x:v>Drilling.File/JHMI/CJhmiRecipeFile.cs</x:v>
      </x:c>
      <x:c r="J271" s="83" t="str">
        <x:v>CJhmiRecipeFile</x:v>
      </x:c>
      <x:c r="K271" s="83" t="str">
        <x:v>Save</x:v>
      </x:c>
      <x:c r="L271" s="83" t="str">
        <x:v>부분 반영</x:v>
      </x:c>
      <x:c r="M271" s="84" t="n">
        <x:v>0.86</x:v>
      </x:c>
      <x:c r="N271" s="83" t="str">
        <x:v>일부 구현은 확인되나 실장비 연동, Timeout/Alarm/Recovery, 저장·복원 또는 고객 수용시험 증빙이 부족</x:v>
      </x:c>
    </x:row>
    <x:row r="272" ht="42" customHeight="1">
      <x:c r="A272" s="83" t="str">
        <x:v>RD-002</x:v>
      </x:c>
      <x:c r="B272" s="83" t="str">
        <x:v>공통 Recipe 데이터 입력</x:v>
      </x:c>
      <x:c r="C272" s="83" t="n">
        <x:v>9</x:v>
      </x:c>
      <x:c r="D272" s="83" t="str">
        <x:v>UI</x:v>
      </x:c>
      <x:c r="E272" s="83" t="str">
        <x:v>Recipe 화면 - Parameter 관리 화면 구현</x:v>
      </x:c>
      <x:c r="F272" s="83" t="str">
        <x:v>04-02</x:v>
      </x:c>
      <x:c r="G272" s="83" t="str">
        <x:v>좌표·가공·보정 Data 모델</x:v>
      </x:c>
      <x:c r="H272" s="83" t="str">
        <x:v>E-UI-RECIPE</x:v>
      </x:c>
      <x:c r="I272" s="83" t="str">
        <x:v>Drilling.UI/Menu/Menus/CMenuRecipe.cs</x:v>
      </x:c>
      <x:c r="J272" s="83" t="str">
        <x:v>CMenuRecipe</x:v>
      </x:c>
      <x:c r="K272" s="83" t="str">
        <x:v>Save()</x:v>
      </x:c>
      <x:c r="L272" s="83" t="str">
        <x:v>부분 반영</x:v>
      </x:c>
      <x:c r="M272" s="84" t="n">
        <x:v>0.86</x:v>
      </x:c>
      <x:c r="N272" s="83" t="str">
        <x:v>일부 구현은 확인되나 실장비 연동, Timeout/Alarm/Recovery, 저장·복원 또는 고객 수용시험 증빙이 부족</x:v>
      </x:c>
    </x:row>
    <x:row r="273" ht="42" customHeight="1">
      <x:c r="A273" s="83" t="str">
        <x:v>RD-002</x:v>
      </x:c>
      <x:c r="B273" s="83" t="str">
        <x:v>공통 Recipe 데이터 입력</x:v>
      </x:c>
      <x:c r="C273" s="83" t="n">
        <x:v>94</x:v>
      </x:c>
      <x:c r="D273" s="83" t="str">
        <x:v>기능</x:v>
      </x:c>
      <x:c r="E273" s="83" t="str">
        <x:v>Recipe Parameter - 목록 확정</x:v>
      </x:c>
      <x:c r="F273" s="83" t="str">
        <x:v>04-02</x:v>
      </x:c>
      <x:c r="G273" s="83" t="str">
        <x:v>좌표·가공·보정 Data 모델</x:v>
      </x:c>
      <x:c r="H273" s="83" t="str">
        <x:v>E-RECIPE-FILE</x:v>
      </x:c>
      <x:c r="I273" s="83" t="str">
        <x:v>Drilling.File/JHMI/CJhmiRecipeFile.cs</x:v>
      </x:c>
      <x:c r="J273" s="83" t="str">
        <x:v>CJhmiRecipeFile</x:v>
      </x:c>
      <x:c r="K273" s="83" t="str">
        <x:v>Save</x:v>
      </x:c>
      <x:c r="L273" s="83" t="str">
        <x:v>부분 반영</x:v>
      </x:c>
      <x:c r="M273" s="84" t="n">
        <x:v>0.86</x:v>
      </x:c>
      <x:c r="N273" s="83" t="str">
        <x:v>일부 구현은 확인되나 실장비 연동, Timeout/Alarm/Recovery, 저장·복원 또는 고객 수용시험 증빙이 부족</x:v>
      </x:c>
    </x:row>
    <x:row r="274" ht="42" customHeight="1">
      <x:c r="A274" s="83" t="str">
        <x:v>RD-002</x:v>
      </x:c>
      <x:c r="B274" s="83" t="str">
        <x:v>공통 Recipe 데이터 입력</x:v>
      </x:c>
      <x:c r="C274" s="83" t="n">
        <x:v>98</x:v>
      </x:c>
      <x:c r="D274" s="83" t="str">
        <x:v>기능</x:v>
      </x:c>
      <x:c r="E274" s="83" t="str">
        <x:v>Process별 Parameter 목록 확정</x:v>
      </x:c>
      <x:c r="F274" s="83" t="str">
        <x:v>04-02</x:v>
      </x:c>
      <x:c r="G274" s="83" t="str">
        <x:v>좌표·가공·보정 Data 모델</x:v>
      </x:c>
      <x:c r="H274" s="83" t="str">
        <x:v>E-RECIPE-FILE</x:v>
      </x:c>
      <x:c r="I274" s="83" t="str">
        <x:v>Drilling.File/JHMI/CJhmiRecipeFile.cs</x:v>
      </x:c>
      <x:c r="J274" s="83" t="str">
        <x:v>CJhmiRecipeFile</x:v>
      </x:c>
      <x:c r="K274" s="83" t="str">
        <x:v>Save</x:v>
      </x:c>
      <x:c r="L274" s="83" t="str">
        <x:v>부분 반영</x:v>
      </x:c>
      <x:c r="M274" s="84" t="n">
        <x:v>0.86</x:v>
      </x:c>
      <x:c r="N274" s="83" t="str">
        <x:v>일부 구현은 확인되나 실장비 연동, Timeout/Alarm/Recovery, 저장·복원 또는 고객 수용시험 증빙이 부족</x:v>
      </x:c>
    </x:row>
    <x:row r="275" ht="42" customHeight="1">
      <x:c r="A275" s="83" t="str">
        <x:v>RD-003</x:v>
      </x:c>
      <x:c r="B275" s="83" t="str">
        <x:v>Cell 별 Recipe 파라미터 입력</x:v>
      </x:c>
      <x:c r="C275" s="83" t="n">
        <x:v>9</x:v>
      </x:c>
      <x:c r="D275" s="83" t="str">
        <x:v>UI</x:v>
      </x:c>
      <x:c r="E275" s="83" t="str">
        <x:v>Recipe 화면 - Parameter 관리 화면 구현</x:v>
      </x:c>
      <x:c r="F275" s="83" t="str">
        <x:v>04-02</x:v>
      </x:c>
      <x:c r="G275" s="83" t="str">
        <x:v>좌표·가공·보정 Data 모델</x:v>
      </x:c>
      <x:c r="H275" s="83" t="str">
        <x:v>E-UI-RECIPE</x:v>
      </x:c>
      <x:c r="I275" s="83" t="str">
        <x:v>Drilling.UI/Menu/Menus/CMenuRecipe.cs</x:v>
      </x:c>
      <x:c r="J275" s="83" t="str">
        <x:v>CMenuRecipe</x:v>
      </x:c>
      <x:c r="K275" s="83" t="str">
        <x:v>Save()</x:v>
      </x:c>
      <x:c r="L275" s="83" t="str">
        <x:v>부분 반영</x:v>
      </x:c>
      <x:c r="M275" s="84" t="n">
        <x:v>0.83</x:v>
      </x:c>
      <x:c r="N275" s="83" t="str">
        <x:v>일부 구현은 확인되나 실장비 연동, Timeout/Alarm/Recovery, 저장·복원 또는 고객 수용시험 증빙이 부족</x:v>
      </x:c>
    </x:row>
    <x:row r="276" ht="42" customHeight="1">
      <x:c r="A276" s="83" t="str">
        <x:v>RD-003</x:v>
      </x:c>
      <x:c r="B276" s="83" t="str">
        <x:v>Cell 별 Recipe 파라미터 입력</x:v>
      </x:c>
      <x:c r="C276" s="83" t="n">
        <x:v>9</x:v>
      </x:c>
      <x:c r="D276" s="83" t="str">
        <x:v>UI</x:v>
      </x:c>
      <x:c r="E276" s="83" t="str">
        <x:v>Recipe 화면 - Parameter 관리 화면 구현</x:v>
      </x:c>
      <x:c r="F276" s="83" t="str">
        <x:v>08-05</x:v>
      </x:c>
      <x:c r="G276" s="83" t="str">
        <x:v>Field Distortion 보정</x:v>
      </x:c>
      <x:c r="H276" s="83" t="str">
        <x:v>E-UI-RECIPE</x:v>
      </x:c>
      <x:c r="I276" s="83" t="str">
        <x:v>Drilling.UI/Menu/Menus/CMenuRecipe.cs</x:v>
      </x:c>
      <x:c r="J276" s="83" t="str">
        <x:v>CMenuRecipe</x:v>
      </x:c>
      <x:c r="K276" s="83" t="str">
        <x:v>Save()</x:v>
      </x:c>
      <x:c r="L276" s="83" t="str">
        <x:v>부분 반영</x:v>
      </x:c>
      <x:c r="M276" s="84" t="n">
        <x:v>0.83</x:v>
      </x:c>
      <x:c r="N276" s="83" t="str">
        <x:v>일부 구현은 확인되나 실장비 연동, Timeout/Alarm/Recovery, 저장·복원 또는 고객 수용시험 증빙이 부족</x:v>
      </x:c>
    </x:row>
    <x:row r="277" ht="42" customHeight="1">
      <x:c r="A277" s="83" t="str">
        <x:v>RD-003</x:v>
      </x:c>
      <x:c r="B277" s="83" t="str">
        <x:v>Cell 별 Recipe 파라미터 입력</x:v>
      </x:c>
      <x:c r="C277" s="83" t="n">
        <x:v>94</x:v>
      </x:c>
      <x:c r="D277" s="83" t="str">
        <x:v>기능</x:v>
      </x:c>
      <x:c r="E277" s="83" t="str">
        <x:v>Recipe Parameter - 목록 확정</x:v>
      </x:c>
      <x:c r="F277" s="83" t="str">
        <x:v>04-02</x:v>
      </x:c>
      <x:c r="G277" s="83" t="str">
        <x:v>좌표·가공·보정 Data 모델</x:v>
      </x:c>
      <x:c r="H277" s="83" t="str">
        <x:v>E-RECIPE-FILE</x:v>
      </x:c>
      <x:c r="I277" s="83" t="str">
        <x:v>Drilling.File/JHMI/CJhmiRecipeFile.cs</x:v>
      </x:c>
      <x:c r="J277" s="83" t="str">
        <x:v>CJhmiRecipeFile</x:v>
      </x:c>
      <x:c r="K277" s="83" t="str">
        <x:v>Save</x:v>
      </x:c>
      <x:c r="L277" s="83" t="str">
        <x:v>부분 반영</x:v>
      </x:c>
      <x:c r="M277" s="84" t="n">
        <x:v>0.83</x:v>
      </x:c>
      <x:c r="N277" s="83" t="str">
        <x:v>일부 구현은 확인되나 실장비 연동, Timeout/Alarm/Recovery, 저장·복원 또는 고객 수용시험 증빙이 부족</x:v>
      </x:c>
    </x:row>
    <x:row r="278" ht="42" customHeight="1">
      <x:c r="A278" s="83" t="str">
        <x:v>RD-003</x:v>
      </x:c>
      <x:c r="B278" s="83" t="str">
        <x:v>Cell 별 Recipe 파라미터 입력</x:v>
      </x:c>
      <x:c r="C278" s="83" t="n">
        <x:v>94</x:v>
      </x:c>
      <x:c r="D278" s="83" t="str">
        <x:v>기능</x:v>
      </x:c>
      <x:c r="E278" s="83" t="str">
        <x:v>Recipe Parameter - 목록 확정</x:v>
      </x:c>
      <x:c r="F278" s="83" t="str">
        <x:v>08-05</x:v>
      </x:c>
      <x:c r="G278" s="83" t="str">
        <x:v>Field Distortion 보정</x:v>
      </x:c>
      <x:c r="H278" s="83" t="str">
        <x:v>E-RECIPE-FILE</x:v>
      </x:c>
      <x:c r="I278" s="83" t="str">
        <x:v>Drilling.File/JHMI/CJhmiRecipeFile.cs</x:v>
      </x:c>
      <x:c r="J278" s="83" t="str">
        <x:v>CJhmiRecipeFile</x:v>
      </x:c>
      <x:c r="K278" s="83" t="str">
        <x:v>Save</x:v>
      </x:c>
      <x:c r="L278" s="83" t="str">
        <x:v>부분 반영</x:v>
      </x:c>
      <x:c r="M278" s="84" t="n">
        <x:v>0.83</x:v>
      </x:c>
      <x:c r="N278" s="83" t="str">
        <x:v>일부 구현은 확인되나 실장비 연동, Timeout/Alarm/Recovery, 저장·복원 또는 고객 수용시험 증빙이 부족</x:v>
      </x:c>
    </x:row>
    <x:row r="279" ht="42" customHeight="1">
      <x:c r="A279" s="83" t="str">
        <x:v>RD-003</x:v>
      </x:c>
      <x:c r="B279" s="83" t="str">
        <x:v>Cell 별 Recipe 파라미터 입력</x:v>
      </x:c>
      <x:c r="C279" s="83" t="n">
        <x:v>95</x:v>
      </x:c>
      <x:c r="D279" s="83" t="str">
        <x:v>기능</x:v>
      </x:c>
      <x:c r="E279" s="83" t="str">
        <x:v>Recipe Parameter 수정·저장 기능 구현</x:v>
      </x:c>
      <x:c r="F279" s="83" t="str">
        <x:v>04-02</x:v>
      </x:c>
      <x:c r="G279" s="83" t="str">
        <x:v>좌표·가공·보정 Data 모델</x:v>
      </x:c>
      <x:c r="H279" s="83" t="str">
        <x:v>E-RECIPE-FILE</x:v>
      </x:c>
      <x:c r="I279" s="83" t="str">
        <x:v>Drilling.File/JHMI/CJhmiRecipeFile.cs</x:v>
      </x:c>
      <x:c r="J279" s="83" t="str">
        <x:v>CJhmiRecipeFile</x:v>
      </x:c>
      <x:c r="K279" s="83" t="str">
        <x:v>Save</x:v>
      </x:c>
      <x:c r="L279" s="83" t="str">
        <x:v>부분 반영</x:v>
      </x:c>
      <x:c r="M279" s="84" t="n">
        <x:v>0.83</x:v>
      </x:c>
      <x:c r="N279" s="83" t="str">
        <x:v>일부 구현은 확인되나 실장비 연동, Timeout/Alarm/Recovery, 저장·복원 또는 고객 수용시험 증빙이 부족</x:v>
      </x:c>
    </x:row>
    <x:row r="280" ht="42" customHeight="1">
      <x:c r="A280" s="83" t="str">
        <x:v>RD-003</x:v>
      </x:c>
      <x:c r="B280" s="83" t="str">
        <x:v>Cell 별 Recipe 파라미터 입력</x:v>
      </x:c>
      <x:c r="C280" s="83" t="n">
        <x:v>95</x:v>
      </x:c>
      <x:c r="D280" s="83" t="str">
        <x:v>기능</x:v>
      </x:c>
      <x:c r="E280" s="83" t="str">
        <x:v>Recipe Parameter 수정·저장 기능 구현</x:v>
      </x:c>
      <x:c r="F280" s="83" t="str">
        <x:v>08-05</x:v>
      </x:c>
      <x:c r="G280" s="83" t="str">
        <x:v>Field Distortion 보정</x:v>
      </x:c>
      <x:c r="H280" s="83" t="str">
        <x:v>E-RECIPE-FILE</x:v>
      </x:c>
      <x:c r="I280" s="83" t="str">
        <x:v>Drilling.File/JHMI/CJhmiRecipeFile.cs</x:v>
      </x:c>
      <x:c r="J280" s="83" t="str">
        <x:v>CJhmiRecipeFile</x:v>
      </x:c>
      <x:c r="K280" s="83" t="str">
        <x:v>Save</x:v>
      </x:c>
      <x:c r="L280" s="83" t="str">
        <x:v>부분 반영</x:v>
      </x:c>
      <x:c r="M280" s="84" t="n">
        <x:v>0.83</x:v>
      </x:c>
      <x:c r="N280" s="83" t="str">
        <x:v>일부 구현은 확인되나 실장비 연동, Timeout/Alarm/Recovery, 저장·복원 또는 고객 수용시험 증빙이 부족</x:v>
      </x:c>
    </x:row>
    <x:row r="281" ht="42" customHeight="1">
      <x:c r="A281" s="83" t="str">
        <x:v>RD-003</x:v>
      </x:c>
      <x:c r="B281" s="83" t="str">
        <x:v>Cell 별 Recipe 파라미터 입력</x:v>
      </x:c>
      <x:c r="C281" s="83" t="n">
        <x:v>96</x:v>
      </x:c>
      <x:c r="D281" s="83" t="str">
        <x:v>기능</x:v>
      </x:c>
      <x:c r="E281" s="83" t="str">
        <x:v>Head별 Parameter 목록 확정</x:v>
      </x:c>
      <x:c r="F281" s="83" t="str">
        <x:v>04-02</x:v>
      </x:c>
      <x:c r="G281" s="83" t="str">
        <x:v>좌표·가공·보정 Data 모델</x:v>
      </x:c>
      <x:c r="H281" s="83" t="str">
        <x:v>E-RECIPE-FILE</x:v>
      </x:c>
      <x:c r="I281" s="83" t="str">
        <x:v>Drilling.File/JHMI/CJhmiRecipeFile.cs</x:v>
      </x:c>
      <x:c r="J281" s="83" t="str">
        <x:v>CJhmiRecipeFile</x:v>
      </x:c>
      <x:c r="K281" s="83" t="str">
        <x:v>Save</x:v>
      </x:c>
      <x:c r="L281" s="83" t="str">
        <x:v>부분 반영</x:v>
      </x:c>
      <x:c r="M281" s="84" t="n">
        <x:v>0.83</x:v>
      </x:c>
      <x:c r="N281" s="83" t="str">
        <x:v>일부 구현은 확인되나 실장비 연동, Timeout/Alarm/Recovery, 저장·복원 또는 고객 수용시험 증빙이 부족</x:v>
      </x:c>
    </x:row>
    <x:row r="282" ht="42" customHeight="1">
      <x:c r="A282" s="83" t="str">
        <x:v>RD-003</x:v>
      </x:c>
      <x:c r="B282" s="83" t="str">
        <x:v>Cell 별 Recipe 파라미터 입력</x:v>
      </x:c>
      <x:c r="C282" s="83" t="n">
        <x:v>96</x:v>
      </x:c>
      <x:c r="D282" s="83" t="str">
        <x:v>기능</x:v>
      </x:c>
      <x:c r="E282" s="83" t="str">
        <x:v>Head별 Parameter 목록 확정</x:v>
      </x:c>
      <x:c r="F282" s="83" t="str">
        <x:v>08-05</x:v>
      </x:c>
      <x:c r="G282" s="83" t="str">
        <x:v>Field Distortion 보정</x:v>
      </x:c>
      <x:c r="H282" s="83" t="str">
        <x:v>E-RECIPE-FILE</x:v>
      </x:c>
      <x:c r="I282" s="83" t="str">
        <x:v>Drilling.File/JHMI/CJhmiRecipeFile.cs</x:v>
      </x:c>
      <x:c r="J282" s="83" t="str">
        <x:v>CJhmiRecipeFile</x:v>
      </x:c>
      <x:c r="K282" s="83" t="str">
        <x:v>Save</x:v>
      </x:c>
      <x:c r="L282" s="83" t="str">
        <x:v>부분 반영</x:v>
      </x:c>
      <x:c r="M282" s="84" t="n">
        <x:v>0.83</x:v>
      </x:c>
      <x:c r="N282" s="83" t="str">
        <x:v>일부 구현은 확인되나 실장비 연동, Timeout/Alarm/Recovery, 저장·복원 또는 고객 수용시험 증빙이 부족</x:v>
      </x:c>
    </x:row>
    <x:row r="283" ht="42" customHeight="1">
      <x:c r="A283" s="83" t="str">
        <x:v>RD-003</x:v>
      </x:c>
      <x:c r="B283" s="83" t="str">
        <x:v>Cell 별 Recipe 파라미터 입력</x:v>
      </x:c>
      <x:c r="C283" s="83" t="n">
        <x:v>97</x:v>
      </x:c>
      <x:c r="D283" s="83" t="str">
        <x:v>기능</x:v>
      </x:c>
      <x:c r="E283" s="83" t="str">
        <x:v>Head별 Parameter 수정·저장 기능 구현</x:v>
      </x:c>
      <x:c r="F283" s="83" t="str">
        <x:v>04-02</x:v>
      </x:c>
      <x:c r="G283" s="83" t="str">
        <x:v>좌표·가공·보정 Data 모델</x:v>
      </x:c>
      <x:c r="H283" s="83" t="str">
        <x:v>E-RECIPE-FILE</x:v>
      </x:c>
      <x:c r="I283" s="83" t="str">
        <x:v>Drilling.File/JHMI/CJhmiRecipeFile.cs</x:v>
      </x:c>
      <x:c r="J283" s="83" t="str">
        <x:v>CJhmiRecipeFile</x:v>
      </x:c>
      <x:c r="K283" s="83" t="str">
        <x:v>Save</x:v>
      </x:c>
      <x:c r="L283" s="83" t="str">
        <x:v>부분 반영</x:v>
      </x:c>
      <x:c r="M283" s="84" t="n">
        <x:v>0.83</x:v>
      </x:c>
      <x:c r="N283" s="83" t="str">
        <x:v>일부 구현은 확인되나 실장비 연동, Timeout/Alarm/Recovery, 저장·복원 또는 고객 수용시험 증빙이 부족</x:v>
      </x:c>
    </x:row>
    <x:row r="284" ht="42" customHeight="1">
      <x:c r="A284" s="83" t="str">
        <x:v>RD-003</x:v>
      </x:c>
      <x:c r="B284" s="83" t="str">
        <x:v>Cell 별 Recipe 파라미터 입력</x:v>
      </x:c>
      <x:c r="C284" s="83" t="n">
        <x:v>97</x:v>
      </x:c>
      <x:c r="D284" s="83" t="str">
        <x:v>기능</x:v>
      </x:c>
      <x:c r="E284" s="83" t="str">
        <x:v>Head별 Parameter 수정·저장 기능 구현</x:v>
      </x:c>
      <x:c r="F284" s="83" t="str">
        <x:v>08-05</x:v>
      </x:c>
      <x:c r="G284" s="83" t="str">
        <x:v>Field Distortion 보정</x:v>
      </x:c>
      <x:c r="H284" s="83" t="str">
        <x:v>E-RECIPE-FILE</x:v>
      </x:c>
      <x:c r="I284" s="83" t="str">
        <x:v>Drilling.File/JHMI/CJhmiRecipeFile.cs</x:v>
      </x:c>
      <x:c r="J284" s="83" t="str">
        <x:v>CJhmiRecipeFile</x:v>
      </x:c>
      <x:c r="K284" s="83" t="str">
        <x:v>Save</x:v>
      </x:c>
      <x:c r="L284" s="83" t="str">
        <x:v>부분 반영</x:v>
      </x:c>
      <x:c r="M284" s="84" t="n">
        <x:v>0.83</x:v>
      </x:c>
      <x:c r="N284" s="83" t="str">
        <x:v>일부 구현은 확인되나 실장비 연동, Timeout/Alarm/Recovery, 저장·복원 또는 고객 수용시험 증빙이 부족</x:v>
      </x:c>
    </x:row>
    <x:row r="285" ht="42" customHeight="1">
      <x:c r="A285" s="83" t="str">
        <x:v>RD-003</x:v>
      </x:c>
      <x:c r="B285" s="83" t="str">
        <x:v>Cell 별 Recipe 파라미터 입력</x:v>
      </x:c>
      <x:c r="C285" s="83" t="n">
        <x:v>98</x:v>
      </x:c>
      <x:c r="D285" s="83" t="str">
        <x:v>기능</x:v>
      </x:c>
      <x:c r="E285" s="83" t="str">
        <x:v>Process별 Parameter 목록 확정</x:v>
      </x:c>
      <x:c r="F285" s="83" t="str">
        <x:v>04-02</x:v>
      </x:c>
      <x:c r="G285" s="83" t="str">
        <x:v>좌표·가공·보정 Data 모델</x:v>
      </x:c>
      <x:c r="H285" s="83" t="str">
        <x:v>E-RECIPE-FILE</x:v>
      </x:c>
      <x:c r="I285" s="83" t="str">
        <x:v>Drilling.File/JHMI/CJhmiRecipeFile.cs</x:v>
      </x:c>
      <x:c r="J285" s="83" t="str">
        <x:v>CJhmiRecipeFile</x:v>
      </x:c>
      <x:c r="K285" s="83" t="str">
        <x:v>Save</x:v>
      </x:c>
      <x:c r="L285" s="83" t="str">
        <x:v>부분 반영</x:v>
      </x:c>
      <x:c r="M285" s="84" t="n">
        <x:v>0.83</x:v>
      </x:c>
      <x:c r="N285" s="83" t="str">
        <x:v>일부 구현은 확인되나 실장비 연동, Timeout/Alarm/Recovery, 저장·복원 또는 고객 수용시험 증빙이 부족</x:v>
      </x:c>
    </x:row>
    <x:row r="286" ht="42" customHeight="1">
      <x:c r="A286" s="83" t="str">
        <x:v>RD-003</x:v>
      </x:c>
      <x:c r="B286" s="83" t="str">
        <x:v>Cell 별 Recipe 파라미터 입력</x:v>
      </x:c>
      <x:c r="C286" s="83" t="n">
        <x:v>98</x:v>
      </x:c>
      <x:c r="D286" s="83" t="str">
        <x:v>기능</x:v>
      </x:c>
      <x:c r="E286" s="83" t="str">
        <x:v>Process별 Parameter 목록 확정</x:v>
      </x:c>
      <x:c r="F286" s="83" t="str">
        <x:v>08-05</x:v>
      </x:c>
      <x:c r="G286" s="83" t="str">
        <x:v>Field Distortion 보정</x:v>
      </x:c>
      <x:c r="H286" s="83" t="str">
        <x:v>E-RECIPE-FILE</x:v>
      </x:c>
      <x:c r="I286" s="83" t="str">
        <x:v>Drilling.File/JHMI/CJhmiRecipeFile.cs</x:v>
      </x:c>
      <x:c r="J286" s="83" t="str">
        <x:v>CJhmiRecipeFile</x:v>
      </x:c>
      <x:c r="K286" s="83" t="str">
        <x:v>Save</x:v>
      </x:c>
      <x:c r="L286" s="83" t="str">
        <x:v>부분 반영</x:v>
      </x:c>
      <x:c r="M286" s="84" t="n">
        <x:v>0.83</x:v>
      </x:c>
      <x:c r="N286" s="83" t="str">
        <x:v>일부 구현은 확인되나 실장비 연동, Timeout/Alarm/Recovery, 저장·복원 또는 고객 수용시험 증빙이 부족</x:v>
      </x:c>
    </x:row>
    <x:row r="287" ht="42" customHeight="1">
      <x:c r="A287" s="83" t="str">
        <x:v>RD-003</x:v>
      </x:c>
      <x:c r="B287" s="83" t="str">
        <x:v>Cell 별 Recipe 파라미터 입력</x:v>
      </x:c>
      <x:c r="C287" s="83" t="n">
        <x:v>99</x:v>
      </x:c>
      <x:c r="D287" s="83" t="str">
        <x:v>기능</x:v>
      </x:c>
      <x:c r="E287" s="83" t="str">
        <x:v>Process별 Parameter 수정·저장 기능 구현</x:v>
      </x:c>
      <x:c r="F287" s="83" t="str">
        <x:v>04-02</x:v>
      </x:c>
      <x:c r="G287" s="83" t="str">
        <x:v>좌표·가공·보정 Data 모델</x:v>
      </x:c>
      <x:c r="H287" s="83" t="str">
        <x:v>E-RECIPE-FILE</x:v>
      </x:c>
      <x:c r="I287" s="83" t="str">
        <x:v>Drilling.File/JHMI/CJhmiRecipeFile.cs</x:v>
      </x:c>
      <x:c r="J287" s="83" t="str">
        <x:v>CJhmiRecipeFile</x:v>
      </x:c>
      <x:c r="K287" s="83" t="str">
        <x:v>Save</x:v>
      </x:c>
      <x:c r="L287" s="83" t="str">
        <x:v>부분 반영</x:v>
      </x:c>
      <x:c r="M287" s="84" t="n">
        <x:v>0.83</x:v>
      </x:c>
      <x:c r="N287" s="83" t="str">
        <x:v>일부 구현은 확인되나 실장비 연동, Timeout/Alarm/Recovery, 저장·복원 또는 고객 수용시험 증빙이 부족</x:v>
      </x:c>
    </x:row>
    <x:row r="288" ht="42" customHeight="1">
      <x:c r="A288" s="83" t="str">
        <x:v>RD-003</x:v>
      </x:c>
      <x:c r="B288" s="83" t="str">
        <x:v>Cell 별 Recipe 파라미터 입력</x:v>
      </x:c>
      <x:c r="C288" s="83" t="n">
        <x:v>99</x:v>
      </x:c>
      <x:c r="D288" s="83" t="str">
        <x:v>기능</x:v>
      </x:c>
      <x:c r="E288" s="83" t="str">
        <x:v>Process별 Parameter 수정·저장 기능 구현</x:v>
      </x:c>
      <x:c r="F288" s="83" t="str">
        <x:v>08-05</x:v>
      </x:c>
      <x:c r="G288" s="83" t="str">
        <x:v>Field Distortion 보정</x:v>
      </x:c>
      <x:c r="H288" s="83" t="str">
        <x:v>E-RECIPE-FILE</x:v>
      </x:c>
      <x:c r="I288" s="83" t="str">
        <x:v>Drilling.File/JHMI/CJhmiRecipeFile.cs</x:v>
      </x:c>
      <x:c r="J288" s="83" t="str">
        <x:v>CJhmiRecipeFile</x:v>
      </x:c>
      <x:c r="K288" s="83" t="str">
        <x:v>Save</x:v>
      </x:c>
      <x:c r="L288" s="83" t="str">
        <x:v>부분 반영</x:v>
      </x:c>
      <x:c r="M288" s="84" t="n">
        <x:v>0.83</x:v>
      </x:c>
      <x:c r="N288" s="83" t="str">
        <x:v>일부 구현은 확인되나 실장비 연동, Timeout/Alarm/Recovery, 저장·복원 또는 고객 수용시험 증빙이 부족</x:v>
      </x:c>
    </x:row>
    <x:row r="289" ht="42" customHeight="1">
      <x:c r="A289" s="83" t="str">
        <x:v>RD-003</x:v>
      </x:c>
      <x:c r="B289" s="83" t="str">
        <x:v>Cell 별 Recipe 파라미터 입력</x:v>
      </x:c>
      <x:c r="C289" s="83" t="n">
        <x:v>117</x:v>
      </x:c>
      <x:c r="D289" s="83" t="str">
        <x:v>기능</x:v>
      </x:c>
      <x:c r="E289" s="83" t="str">
        <x:v>좌표 연동 구현</x:v>
      </x:c>
      <x:c r="F289" s="83" t="str">
        <x:v>04-02</x:v>
      </x:c>
      <x:c r="G289" s="83" t="str">
        <x:v>좌표·가공·보정 Data 모델</x:v>
      </x:c>
      <x:c r="H289" s="83" t="str">
        <x:v>E-COORD</x:v>
      </x:c>
      <x:c r="I289" s="83" t="str">
        <x:v>Drilling.Common/Recipe/CRecipeHolePlan.cs</x:v>
      </x:c>
      <x:c r="J289" s="83" t="str">
        <x:v>CRecipeHolePlan</x:v>
      </x:c>
      <x:c r="K289" s="83" t="str">
        <x:v>Build</x:v>
      </x:c>
      <x:c r="L289" s="83" t="str">
        <x:v>부분 반영</x:v>
      </x:c>
      <x:c r="M289" s="84" t="n">
        <x:v>0.83</x:v>
      </x:c>
      <x:c r="N289" s="83" t="str">
        <x:v>일부 구현은 확인되나 실장비 연동, Timeout/Alarm/Recovery, 저장·복원 또는 고객 수용시험 증빙이 부족</x:v>
      </x:c>
    </x:row>
    <x:row r="290" ht="42" customHeight="1">
      <x:c r="A290" s="83" t="str">
        <x:v>RD-003</x:v>
      </x:c>
      <x:c r="B290" s="83" t="str">
        <x:v>Cell 별 Recipe 파라미터 입력</x:v>
      </x:c>
      <x:c r="C290" s="83" t="n">
        <x:v>117</x:v>
      </x:c>
      <x:c r="D290" s="83" t="str">
        <x:v>기능</x:v>
      </x:c>
      <x:c r="E290" s="83" t="str">
        <x:v>좌표 연동 구현</x:v>
      </x:c>
      <x:c r="F290" s="83" t="str">
        <x:v>08-05</x:v>
      </x:c>
      <x:c r="G290" s="83" t="str">
        <x:v>Field Distortion 보정</x:v>
      </x:c>
      <x:c r="H290" s="83" t="str">
        <x:v>E-COORD</x:v>
      </x:c>
      <x:c r="I290" s="83" t="str">
        <x:v>Drilling.Common/Recipe/CRecipeHolePlan.cs</x:v>
      </x:c>
      <x:c r="J290" s="83" t="str">
        <x:v>CRecipeHolePlan</x:v>
      </x:c>
      <x:c r="K290" s="83" t="str">
        <x:v>Build</x:v>
      </x:c>
      <x:c r="L290" s="83" t="str">
        <x:v>부분 반영</x:v>
      </x:c>
      <x:c r="M290" s="84" t="n">
        <x:v>0.83</x:v>
      </x:c>
      <x:c r="N290" s="83" t="str">
        <x:v>일부 구현은 확인되나 실장비 연동, Timeout/Alarm/Recovery, 저장·복원 또는 고객 수용시험 증빙이 부족</x:v>
      </x:c>
    </x:row>
    <x:row r="291" ht="42" customHeight="1">
      <x:c r="A291" s="83" t="str">
        <x:v>RD-004</x:v>
      </x:c>
      <x:c r="B291" s="83" t="str">
        <x:v>Head 별 Recipe 파라미터 입력</x:v>
      </x:c>
      <x:c r="C291" s="83" t="n">
        <x:v>94</x:v>
      </x:c>
      <x:c r="D291" s="83" t="str">
        <x:v>기능</x:v>
      </x:c>
      <x:c r="E291" s="83" t="str">
        <x:v>Recipe Parameter - 목록 확정</x:v>
      </x:c>
      <x:c r="F291" s="83" t="str">
        <x:v>04-02</x:v>
      </x:c>
      <x:c r="G291" s="83" t="str">
        <x:v>좌표·가공·보정 Data 모델</x:v>
      </x:c>
      <x:c r="H291" s="83" t="str">
        <x:v>E-RECIPE-FILE</x:v>
      </x:c>
      <x:c r="I291" s="83" t="str">
        <x:v>Drilling.File/JHMI/CJhmiRecipeFile.cs</x:v>
      </x:c>
      <x:c r="J291" s="83" t="str">
        <x:v>CJhmiRecipeFile</x:v>
      </x:c>
      <x:c r="K291" s="83" t="str">
        <x:v>Save</x:v>
      </x:c>
      <x:c r="L291" s="83" t="str">
        <x:v>부분 반영</x:v>
      </x:c>
      <x:c r="M291" s="84" t="n">
        <x:v>0.88</x:v>
      </x:c>
      <x:c r="N291" s="83" t="str">
        <x:v>일부 구현은 확인되나 실장비 연동, Timeout/Alarm/Recovery, 저장·복원 또는 고객 수용시험 증빙이 부족</x:v>
      </x:c>
    </x:row>
    <x:row r="292" ht="42" customHeight="1">
      <x:c r="A292" s="83" t="str">
        <x:v>RD-004</x:v>
      </x:c>
      <x:c r="B292" s="83" t="str">
        <x:v>Head 별 Recipe 파라미터 입력</x:v>
      </x:c>
      <x:c r="C292" s="83" t="n">
        <x:v>94</x:v>
      </x:c>
      <x:c r="D292" s="83" t="str">
        <x:v>기능</x:v>
      </x:c>
      <x:c r="E292" s="83" t="str">
        <x:v>Recipe Parameter - 목록 확정</x:v>
      </x:c>
      <x:c r="F292" s="83" t="str">
        <x:v>09-02</x:v>
      </x:c>
      <x:c r="G292" s="83" t="str">
        <x:v>Optics 동작·Recipe 연계</x:v>
      </x:c>
      <x:c r="H292" s="83" t="str">
        <x:v>E-RECIPE-FILE</x:v>
      </x:c>
      <x:c r="I292" s="83" t="str">
        <x:v>Drilling.File/JHMI/CJhmiRecipeFile.cs</x:v>
      </x:c>
      <x:c r="J292" s="83" t="str">
        <x:v>CJhmiRecipeFile</x:v>
      </x:c>
      <x:c r="K292" s="83" t="str">
        <x:v>Save</x:v>
      </x:c>
      <x:c r="L292" s="83" t="str">
        <x:v>부분 반영</x:v>
      </x:c>
      <x:c r="M292" s="84" t="n">
        <x:v>0.88</x:v>
      </x:c>
      <x:c r="N292" s="83" t="str">
        <x:v>일부 구현은 확인되나 실장비 연동, Timeout/Alarm/Recovery, 저장·복원 또는 고객 수용시험 증빙이 부족</x:v>
      </x:c>
    </x:row>
    <x:row r="293" ht="42" customHeight="1">
      <x:c r="A293" s="83" t="str">
        <x:v>RD-004</x:v>
      </x:c>
      <x:c r="B293" s="83" t="str">
        <x:v>Head 별 Recipe 파라미터 입력</x:v>
      </x:c>
      <x:c r="C293" s="83" t="n">
        <x:v>96</x:v>
      </x:c>
      <x:c r="D293" s="83" t="str">
        <x:v>기능</x:v>
      </x:c>
      <x:c r="E293" s="83" t="str">
        <x:v>Head별 Parameter 목록 확정</x:v>
      </x:c>
      <x:c r="F293" s="83" t="str">
        <x:v>04-02</x:v>
      </x:c>
      <x:c r="G293" s="83" t="str">
        <x:v>좌표·가공·보정 Data 모델</x:v>
      </x:c>
      <x:c r="H293" s="83" t="str">
        <x:v>E-RECIPE-FILE</x:v>
      </x:c>
      <x:c r="I293" s="83" t="str">
        <x:v>Drilling.File/JHMI/CJhmiRecipeFile.cs</x:v>
      </x:c>
      <x:c r="J293" s="83" t="str">
        <x:v>CJhmiRecipeFile</x:v>
      </x:c>
      <x:c r="K293" s="83" t="str">
        <x:v>Save</x:v>
      </x:c>
      <x:c r="L293" s="83" t="str">
        <x:v>부분 반영</x:v>
      </x:c>
      <x:c r="M293" s="84" t="n">
        <x:v>0.88</x:v>
      </x:c>
      <x:c r="N293" s="83" t="str">
        <x:v>일부 구현은 확인되나 실장비 연동, Timeout/Alarm/Recovery, 저장·복원 또는 고객 수용시험 증빙이 부족</x:v>
      </x:c>
    </x:row>
    <x:row r="294" ht="42" customHeight="1">
      <x:c r="A294" s="83" t="str">
        <x:v>RD-004</x:v>
      </x:c>
      <x:c r="B294" s="83" t="str">
        <x:v>Head 별 Recipe 파라미터 입력</x:v>
      </x:c>
      <x:c r="C294" s="83" t="n">
        <x:v>96</x:v>
      </x:c>
      <x:c r="D294" s="83" t="str">
        <x:v>기능</x:v>
      </x:c>
      <x:c r="E294" s="83" t="str">
        <x:v>Head별 Parameter 목록 확정</x:v>
      </x:c>
      <x:c r="F294" s="83" t="str">
        <x:v>09-02</x:v>
      </x:c>
      <x:c r="G294" s="83" t="str">
        <x:v>Optics 동작·Recipe 연계</x:v>
      </x:c>
      <x:c r="H294" s="83" t="str">
        <x:v>E-RECIPE-FILE</x:v>
      </x:c>
      <x:c r="I294" s="83" t="str">
        <x:v>Drilling.File/JHMI/CJhmiRecipeFile.cs</x:v>
      </x:c>
      <x:c r="J294" s="83" t="str">
        <x:v>CJhmiRecipeFile</x:v>
      </x:c>
      <x:c r="K294" s="83" t="str">
        <x:v>Save</x:v>
      </x:c>
      <x:c r="L294" s="83" t="str">
        <x:v>부분 반영</x:v>
      </x:c>
      <x:c r="M294" s="84" t="n">
        <x:v>0.88</x:v>
      </x:c>
      <x:c r="N294" s="83" t="str">
        <x:v>일부 구현은 확인되나 실장비 연동, Timeout/Alarm/Recovery, 저장·복원 또는 고객 수용시험 증빙이 부족</x:v>
      </x:c>
    </x:row>
    <x:row r="295" ht="42" customHeight="1">
      <x:c r="A295" s="83" t="str">
        <x:v>RD-004</x:v>
      </x:c>
      <x:c r="B295" s="83" t="str">
        <x:v>Head 별 Recipe 파라미터 입력</x:v>
      </x:c>
      <x:c r="C295" s="83" t="n">
        <x:v>97</x:v>
      </x:c>
      <x:c r="D295" s="83" t="str">
        <x:v>기능</x:v>
      </x:c>
      <x:c r="E295" s="83" t="str">
        <x:v>Head별 Parameter 수정·저장 기능 구현</x:v>
      </x:c>
      <x:c r="F295" s="83" t="str">
        <x:v>04-02</x:v>
      </x:c>
      <x:c r="G295" s="83" t="str">
        <x:v>좌표·가공·보정 Data 모델</x:v>
      </x:c>
      <x:c r="H295" s="83" t="str">
        <x:v>E-RECIPE-FILE</x:v>
      </x:c>
      <x:c r="I295" s="83" t="str">
        <x:v>Drilling.File/JHMI/CJhmiRecipeFile.cs</x:v>
      </x:c>
      <x:c r="J295" s="83" t="str">
        <x:v>CJhmiRecipeFile</x:v>
      </x:c>
      <x:c r="K295" s="83" t="str">
        <x:v>Save</x:v>
      </x:c>
      <x:c r="L295" s="83" t="str">
        <x:v>부분 반영</x:v>
      </x:c>
      <x:c r="M295" s="84" t="n">
        <x:v>0.88</x:v>
      </x:c>
      <x:c r="N295" s="83" t="str">
        <x:v>일부 구현은 확인되나 실장비 연동, Timeout/Alarm/Recovery, 저장·복원 또는 고객 수용시험 증빙이 부족</x:v>
      </x:c>
    </x:row>
    <x:row r="296" ht="42" customHeight="1">
      <x:c r="A296" s="83" t="str">
        <x:v>RD-004</x:v>
      </x:c>
      <x:c r="B296" s="83" t="str">
        <x:v>Head 별 Recipe 파라미터 입력</x:v>
      </x:c>
      <x:c r="C296" s="83" t="n">
        <x:v>97</x:v>
      </x:c>
      <x:c r="D296" s="83" t="str">
        <x:v>기능</x:v>
      </x:c>
      <x:c r="E296" s="83" t="str">
        <x:v>Head별 Parameter 수정·저장 기능 구현</x:v>
      </x:c>
      <x:c r="F296" s="83" t="str">
        <x:v>09-02</x:v>
      </x:c>
      <x:c r="G296" s="83" t="str">
        <x:v>Optics 동작·Recipe 연계</x:v>
      </x:c>
      <x:c r="H296" s="83" t="str">
        <x:v>E-RECIPE-FILE</x:v>
      </x:c>
      <x:c r="I296" s="83" t="str">
        <x:v>Drilling.File/JHMI/CJhmiRecipeFile.cs</x:v>
      </x:c>
      <x:c r="J296" s="83" t="str">
        <x:v>CJhmiRecipeFile</x:v>
      </x:c>
      <x:c r="K296" s="83" t="str">
        <x:v>Save</x:v>
      </x:c>
      <x:c r="L296" s="83" t="str">
        <x:v>부분 반영</x:v>
      </x:c>
      <x:c r="M296" s="84" t="n">
        <x:v>0.88</x:v>
      </x:c>
      <x:c r="N296" s="83" t="str">
        <x:v>일부 구현은 확인되나 실장비 연동, Timeout/Alarm/Recovery, 저장·복원 또는 고객 수용시험 증빙이 부족</x:v>
      </x:c>
    </x:row>
    <x:row r="297" ht="42" customHeight="1">
      <x:c r="A297" s="83" t="str">
        <x:v>RD-004</x:v>
      </x:c>
      <x:c r="B297" s="83" t="str">
        <x:v>Head 별 Recipe 파라미터 입력</x:v>
      </x:c>
      <x:c r="C297" s="83" t="n">
        <x:v>116</x:v>
      </x:c>
      <x:c r="D297" s="83" t="str">
        <x:v>기능</x:v>
      </x:c>
      <x:c r="E297" s="83" t="str">
        <x:v>Automation1 Script 생성 기능 구현</x:v>
      </x:c>
      <x:c r="F297" s="83" t="str">
        <x:v>04-02</x:v>
      </x:c>
      <x:c r="G297" s="83" t="str">
        <x:v>좌표·가공·보정 Data 모델</x:v>
      </x:c>
      <x:c r="H297" s="83" t="str">
        <x:v>E-SCRIPT</x:v>
      </x:c>
      <x:c r="I297" s="83" t="str">
        <x:v>Drilling.File/Script/CAutomation1ScriptFile.cs</x:v>
      </x:c>
      <x:c r="J297" s="83" t="str">
        <x:v>CAutomation1ScriptFile</x:v>
      </x:c>
      <x:c r="K297" s="83" t="str">
        <x:v>Build</x:v>
      </x:c>
      <x:c r="L297" s="83" t="str">
        <x:v>부분 반영</x:v>
      </x:c>
      <x:c r="M297" s="84" t="n">
        <x:v>0.88</x:v>
      </x:c>
      <x:c r="N297" s="83" t="str">
        <x:v>일부 구현은 확인되나 실장비 연동, Timeout/Alarm/Recovery, 저장·복원 또는 고객 수용시험 증빙이 부족</x:v>
      </x:c>
    </x:row>
    <x:row r="298" ht="42" customHeight="1">
      <x:c r="A298" s="83" t="str">
        <x:v>RD-004</x:v>
      </x:c>
      <x:c r="B298" s="83" t="str">
        <x:v>Head 별 Recipe 파라미터 입력</x:v>
      </x:c>
      <x:c r="C298" s="83" t="n">
        <x:v>116</x:v>
      </x:c>
      <x:c r="D298" s="83" t="str">
        <x:v>기능</x:v>
      </x:c>
      <x:c r="E298" s="83" t="str">
        <x:v>Automation1 Script 생성 기능 구현</x:v>
      </x:c>
      <x:c r="F298" s="83" t="str">
        <x:v>09-02</x:v>
      </x:c>
      <x:c r="G298" s="83" t="str">
        <x:v>Optics 동작·Recipe 연계</x:v>
      </x:c>
      <x:c r="H298" s="83" t="str">
        <x:v>E-SCRIPT</x:v>
      </x:c>
      <x:c r="I298" s="83" t="str">
        <x:v>Drilling.File/Script/CAutomation1ScriptFile.cs</x:v>
      </x:c>
      <x:c r="J298" s="83" t="str">
        <x:v>CAutomation1ScriptFile</x:v>
      </x:c>
      <x:c r="K298" s="83" t="str">
        <x:v>Build</x:v>
      </x:c>
      <x:c r="L298" s="83" t="str">
        <x:v>부분 반영</x:v>
      </x:c>
      <x:c r="M298" s="84" t="n">
        <x:v>0.88</x:v>
      </x:c>
      <x:c r="N298" s="83" t="str">
        <x:v>일부 구현은 확인되나 실장비 연동, Timeout/Alarm/Recovery, 저장·복원 또는 고객 수용시험 증빙이 부족</x:v>
      </x:c>
    </x:row>
    <x:row r="299" ht="42" customHeight="1">
      <x:c r="A299" s="83" t="str">
        <x:v>RD-005</x:v>
      </x:c>
      <x:c r="B299" s="83" t="str">
        <x:v>기준 위치 Shift 반영</x:v>
      </x:c>
      <x:c r="C299" s="83" t="n">
        <x:v>88</x:v>
      </x:c>
      <x:c r="D299" s="83" t="str">
        <x:v>기능</x:v>
      </x:c>
      <x:c r="E299" s="83" t="str">
        <x:v>Align - Offset 적용 기능 구현</x:v>
      </x:c>
      <x:c r="F299" s="83" t="str">
        <x:v>08-05</x:v>
      </x:c>
      <x:c r="G299" s="83" t="str">
        <x:v>Field Distortion 보정</x:v>
      </x:c>
      <x:c r="H299" s="83" t="str">
        <x:v>E-REVIEW</x:v>
      </x:c>
      <x:c r="I299" s="83" t="str">
        <x:v>Drilling.Common/Review/CReviewManager.cs</x:v>
      </x:c>
      <x:c r="J299" s="83" t="str">
        <x:v>CReviewManager</x:v>
      </x:c>
      <x:c r="K299" s="83" t="str">
        <x:v>CreatePlan</x:v>
      </x:c>
      <x:c r="L299" s="83" t="str">
        <x:v>부분 반영</x:v>
      </x:c>
      <x:c r="M299" s="84" t="n">
        <x:v>0.81</x:v>
      </x:c>
      <x:c r="N299" s="83" t="str">
        <x:v>일부 구현은 확인되나 실장비 연동, Timeout/Alarm/Recovery, 저장·복원 또는 고객 수용시험 증빙이 부족</x:v>
      </x:c>
    </x:row>
    <x:row r="300" ht="42" customHeight="1">
      <x:c r="A300" s="83" t="str">
        <x:v>RD-005</x:v>
      </x:c>
      <x:c r="B300" s="83" t="str">
        <x:v>기준 위치 Shift 반영</x:v>
      </x:c>
      <x:c r="C300" s="83" t="n">
        <x:v>92</x:v>
      </x:c>
      <x:c r="D300" s="83" t="str">
        <x:v>기능</x:v>
      </x:c>
      <x:c r="E300" s="83" t="str">
        <x:v>Review - Offset 적용 구현</x:v>
      </x:c>
      <x:c r="F300" s="83" t="str">
        <x:v>08-05</x:v>
      </x:c>
      <x:c r="G300" s="83" t="str">
        <x:v>Field Distortion 보정</x:v>
      </x:c>
      <x:c r="H300" s="83" t="str">
        <x:v>E-REVIEW</x:v>
      </x:c>
      <x:c r="I300" s="83" t="str">
        <x:v>Drilling.Common/Review/CReviewManager.cs</x:v>
      </x:c>
      <x:c r="J300" s="83" t="str">
        <x:v>CReviewManager</x:v>
      </x:c>
      <x:c r="K300" s="83" t="str">
        <x:v>CreatePlan</x:v>
      </x:c>
      <x:c r="L300" s="83" t="str">
        <x:v>부분 반영</x:v>
      </x:c>
      <x:c r="M300" s="84" t="n">
        <x:v>0.81</x:v>
      </x:c>
      <x:c r="N300" s="83" t="str">
        <x:v>일부 구현은 확인되나 실장비 연동, Timeout/Alarm/Recovery, 저장·복원 또는 고객 수용시험 증빙이 부족</x:v>
      </x:c>
    </x:row>
    <x:row r="301" ht="42" customHeight="1">
      <x:c r="A301" s="83" t="str">
        <x:v>RD-005</x:v>
      </x:c>
      <x:c r="B301" s="83" t="str">
        <x:v>기준 위치 Shift 반영</x:v>
      </x:c>
      <x:c r="C301" s="83" t="n">
        <x:v>95</x:v>
      </x:c>
      <x:c r="D301" s="83" t="str">
        <x:v>기능</x:v>
      </x:c>
      <x:c r="E301" s="83" t="str">
        <x:v>Recipe Parameter 수정·저장 기능 구현</x:v>
      </x:c>
      <x:c r="F301" s="83" t="str">
        <x:v>08-05</x:v>
      </x:c>
      <x:c r="G301" s="83" t="str">
        <x:v>Field Distortion 보정</x:v>
      </x:c>
      <x:c r="H301" s="83" t="str">
        <x:v>E-RECIPE-FILE</x:v>
      </x:c>
      <x:c r="I301" s="83" t="str">
        <x:v>Drilling.File/JHMI/CJhmiRecipeFile.cs</x:v>
      </x:c>
      <x:c r="J301" s="83" t="str">
        <x:v>CJhmiRecipeFile</x:v>
      </x:c>
      <x:c r="K301" s="83" t="str">
        <x:v>Save</x:v>
      </x:c>
      <x:c r="L301" s="83" t="str">
        <x:v>부분 반영</x:v>
      </x:c>
      <x:c r="M301" s="84" t="n">
        <x:v>0.81</x:v>
      </x:c>
      <x:c r="N301" s="83" t="str">
        <x:v>일부 구현은 확인되나 실장비 연동, Timeout/Alarm/Recovery, 저장·복원 또는 고객 수용시험 증빙이 부족</x:v>
      </x:c>
    </x:row>
    <x:row r="302" ht="42" customHeight="1">
      <x:c r="A302" s="83" t="str">
        <x:v>RD-005</x:v>
      </x:c>
      <x:c r="B302" s="83" t="str">
        <x:v>기준 위치 Shift 반영</x:v>
      </x:c>
      <x:c r="C302" s="83" t="n">
        <x:v>97</x:v>
      </x:c>
      <x:c r="D302" s="83" t="str">
        <x:v>기능</x:v>
      </x:c>
      <x:c r="E302" s="83" t="str">
        <x:v>Head별 Parameter 수정·저장 기능 구현</x:v>
      </x:c>
      <x:c r="F302" s="83" t="str">
        <x:v>08-05</x:v>
      </x:c>
      <x:c r="G302" s="83" t="str">
        <x:v>Field Distortion 보정</x:v>
      </x:c>
      <x:c r="H302" s="83" t="str">
        <x:v>E-RECIPE-FILE</x:v>
      </x:c>
      <x:c r="I302" s="83" t="str">
        <x:v>Drilling.File/JHMI/CJhmiRecipeFile.cs</x:v>
      </x:c>
      <x:c r="J302" s="83" t="str">
        <x:v>CJhmiRecipeFile</x:v>
      </x:c>
      <x:c r="K302" s="83" t="str">
        <x:v>Save</x:v>
      </x:c>
      <x:c r="L302" s="83" t="str">
        <x:v>부분 반영</x:v>
      </x:c>
      <x:c r="M302" s="84" t="n">
        <x:v>0.81</x:v>
      </x:c>
      <x:c r="N302" s="83" t="str">
        <x:v>일부 구현은 확인되나 실장비 연동, Timeout/Alarm/Recovery, 저장·복원 또는 고객 수용시험 증빙이 부족</x:v>
      </x:c>
    </x:row>
    <x:row r="303" ht="42" customHeight="1">
      <x:c r="A303" s="83" t="str">
        <x:v>RD-005</x:v>
      </x:c>
      <x:c r="B303" s="83" t="str">
        <x:v>기준 위치 Shift 반영</x:v>
      </x:c>
      <x:c r="C303" s="83" t="n">
        <x:v>99</x:v>
      </x:c>
      <x:c r="D303" s="83" t="str">
        <x:v>기능</x:v>
      </x:c>
      <x:c r="E303" s="83" t="str">
        <x:v>Process별 Parameter 수정·저장 기능 구현</x:v>
      </x:c>
      <x:c r="F303" s="83" t="str">
        <x:v>08-05</x:v>
      </x:c>
      <x:c r="G303" s="83" t="str">
        <x:v>Field Distortion 보정</x:v>
      </x:c>
      <x:c r="H303" s="83" t="str">
        <x:v>E-RECIPE-FILE</x:v>
      </x:c>
      <x:c r="I303" s="83" t="str">
        <x:v>Drilling.File/JHMI/CJhmiRecipeFile.cs</x:v>
      </x:c>
      <x:c r="J303" s="83" t="str">
        <x:v>CJhmiRecipeFile</x:v>
      </x:c>
      <x:c r="K303" s="83" t="str">
        <x:v>Save</x:v>
      </x:c>
      <x:c r="L303" s="83" t="str">
        <x:v>부분 반영</x:v>
      </x:c>
      <x:c r="M303" s="84" t="n">
        <x:v>0.81</x:v>
      </x:c>
      <x:c r="N303" s="83" t="str">
        <x:v>일부 구현은 확인되나 실장비 연동, Timeout/Alarm/Recovery, 저장·복원 또는 고객 수용시험 증빙이 부족</x:v>
      </x:c>
    </x:row>
    <x:row r="304" ht="42" customHeight="1">
      <x:c r="A304" s="83" t="str">
        <x:v>RD-005</x:v>
      </x:c>
      <x:c r="B304" s="83" t="str">
        <x:v>기준 위치 Shift 반영</x:v>
      </x:c>
      <x:c r="C304" s="83" t="n">
        <x:v>117</x:v>
      </x:c>
      <x:c r="D304" s="83" t="str">
        <x:v>기능</x:v>
      </x:c>
      <x:c r="E304" s="83" t="str">
        <x:v>좌표 연동 구현</x:v>
      </x:c>
      <x:c r="F304" s="83" t="str">
        <x:v>08-05</x:v>
      </x:c>
      <x:c r="G304" s="83" t="str">
        <x:v>Field Distortion 보정</x:v>
      </x:c>
      <x:c r="H304" s="83" t="str">
        <x:v>E-COORD</x:v>
      </x:c>
      <x:c r="I304" s="83" t="str">
        <x:v>Drilling.Common/Recipe/CRecipeHolePlan.cs</x:v>
      </x:c>
      <x:c r="J304" s="83" t="str">
        <x:v>CRecipeHolePlan</x:v>
      </x:c>
      <x:c r="K304" s="83" t="str">
        <x:v>Build</x:v>
      </x:c>
      <x:c r="L304" s="83" t="str">
        <x:v>부분 반영</x:v>
      </x:c>
      <x:c r="M304" s="84" t="n">
        <x:v>0.81</x:v>
      </x:c>
      <x:c r="N304" s="83" t="str">
        <x:v>일부 구현은 확인되나 실장비 연동, Timeout/Alarm/Recovery, 저장·복원 또는 고객 수용시험 증빙이 부족</x:v>
      </x:c>
    </x:row>
    <x:row r="305" ht="42" customHeight="1">
      <x:c r="A305" s="83" t="str">
        <x:v>RD-006</x:v>
      </x:c>
      <x:c r="B305" s="83" t="str">
        <x:v>PPID 매칭 (Matching)</x:v>
      </x:c>
      <x:c r="C305" s="83" t="n">
        <x:v>40</x:v>
      </x:c>
      <x:c r="D305" s="83" t="str">
        <x:v>File/Data</x:v>
      </x:c>
      <x:c r="E305" s="83" t="str">
        <x:v>Recipe Config 및 Recipe 파일 - 항목 구조 확정</x:v>
      </x:c>
      <x:c r="F305" s="83" t="str">
        <x:v>04-03</x:v>
      </x:c>
      <x:c r="G305" s="83" t="str">
        <x:v>PPID·Model·Job Change 데이터</x:v>
      </x:c>
      <x:c r="H305" s="83" t="str">
        <x:v>E-RECIPE-FILE</x:v>
      </x:c>
      <x:c r="I305" s="83" t="str">
        <x:v>Drilling.File/JHMI/CJhmiRecipeFile.cs</x:v>
      </x:c>
      <x:c r="J305" s="83" t="str">
        <x:v>CJhmiRecipeFile</x:v>
      </x:c>
      <x:c r="K305" s="83" t="str">
        <x:v>Save</x:v>
      </x:c>
      <x:c r="L305" s="83" t="str">
        <x:v>유사하나 불충분</x:v>
      </x:c>
      <x:c r="M305" s="84" t="n">
        <x:v>0.47</x:v>
      </x:c>
      <x:c r="N305" s="83" t="str">
        <x:v>유사 UI/기초 로직은 있으나 고객 대상·조건·데이터·적용방식이 달라 사양확정과 전용 로직·검증이 필요</x:v>
      </x:c>
    </x:row>
    <x:row r="306" ht="42" customHeight="1">
      <x:c r="A306" s="83" t="str">
        <x:v>RD-006</x:v>
      </x:c>
      <x:c r="B306" s="83" t="str">
        <x:v>PPID 매칭 (Matching)</x:v>
      </x:c>
      <x:c r="C306" s="83" t="n">
        <x:v>106</x:v>
      </x:c>
      <x:c r="D306" s="83" t="str">
        <x:v>기능</x:v>
      </x:c>
      <x:c r="E306" s="83" t="str">
        <x:v>Melsec Data - Product Data 읽기/쓰기 구현</x:v>
      </x:c>
      <x:c r="F306" s="83" t="str">
        <x:v>04-03</x:v>
      </x:c>
      <x:c r="G306" s="83" t="str">
        <x:v>PPID·Model·Job Change 데이터</x:v>
      </x:c>
      <x:c r="H306" s="83" t="str">
        <x:v>E-PLC</x:v>
      </x:c>
      <x:c r="I306" s="83" t="str">
        <x:v>Drilling.Common/Interface/Melsec/CMelsec.cs</x:v>
      </x:c>
      <x:c r="J306" s="83" t="str">
        <x:v>CMelsec</x:v>
      </x:c>
      <x:c r="K306" s="83" t="str">
        <x:v>QueueWriteBit</x:v>
      </x:c>
      <x:c r="L306" s="83" t="str">
        <x:v>유사하나 불충분</x:v>
      </x:c>
      <x:c r="M306" s="84" t="n">
        <x:v>0.47</x:v>
      </x:c>
      <x:c r="N306" s="83" t="str">
        <x:v>유사 UI/기초 로직은 있으나 고객 대상·조건·데이터·적용방식이 달라 사양확정과 전용 로직·검증이 필요</x:v>
      </x:c>
    </x:row>
    <x:row r="307" ht="42" customHeight="1">
      <x:c r="A307" s="83" t="str">
        <x:v>RD-006</x:v>
      </x:c>
      <x:c r="B307" s="83" t="str">
        <x:v>PPID 매칭 (Matching)</x:v>
      </x:c>
      <x:c r="C307" s="83" t="n">
        <x:v>110</x:v>
      </x:c>
      <x:c r="D307" s="83" t="str">
        <x:v>기능</x:v>
      </x:c>
      <x:c r="E307" s="83" t="str">
        <x:v>CIM - Recipe 정보 보고 구현</x:v>
      </x:c>
      <x:c r="F307" s="83" t="str">
        <x:v>04-03</x:v>
      </x:c>
      <x:c r="G307" s="83" t="str">
        <x:v>PPID·Model·Job Change 데이터</x:v>
      </x:c>
      <x:c r="H307" s="83" t="str">
        <x:v>E-NO-CIM</x:v>
      </x:c>
      <x:c r="I307" s="83" t="str">
        <x:v>-</x:v>
      </x:c>
      <x:c r="J307" s="83" t="str">
        <x:v>-</x:v>
      </x:c>
      <x:c r="K307" s="83" t="str">
        <x:v>CIM 전용 Driver/Sequence</x:v>
      </x:c>
      <x:c r="L307" s="83" t="str">
        <x:v>유사하나 불충분</x:v>
      </x:c>
      <x:c r="M307" s="84" t="n">
        <x:v>0.47</x:v>
      </x:c>
      <x:c r="N307" s="83" t="str">
        <x:v>유사 UI/기초 로직은 있으나 고객 대상·조건·데이터·적용방식이 달라 사양확정과 전용 로직·검증이 필요</x:v>
      </x:c>
    </x:row>
    <x:row r="308" ht="42" customHeight="1">
      <x:c r="A308" s="83" t="str">
        <x:v>RD-006</x:v>
      </x:c>
      <x:c r="B308" s="83" t="str">
        <x:v>PPID 매칭 (Matching)</x:v>
      </x:c>
      <x:c r="C308" s="83" t="n">
        <x:v>118</x:v>
      </x:c>
      <x:c r="D308" s="83" t="str">
        <x:v>기능</x:v>
      </x:c>
      <x:c r="E308" s="83" t="str">
        <x:v>Auto Job Change - Recipe 자동 갱신 구현</x:v>
      </x:c>
      <x:c r="F308" s="83" t="str">
        <x:v>04-03</x:v>
      </x:c>
      <x:c r="G308" s="83" t="str">
        <x:v>PPID·Model·Job Change 데이터</x:v>
      </x:c>
      <x:c r="H308" s="83" t="str">
        <x:v>E-NO-JOBCHANGE</x:v>
      </x:c>
      <x:c r="I308" s="83" t="str">
        <x:v>-</x:v>
      </x:c>
      <x:c r="J308" s="83" t="str">
        <x:v>-</x:v>
      </x:c>
      <x:c r="K308" s="83" t="str">
        <x:v>Auto Job Change</x:v>
      </x:c>
      <x:c r="L308" s="83" t="str">
        <x:v>유사하나 불충분</x:v>
      </x:c>
      <x:c r="M308" s="84" t="n">
        <x:v>0.47</x:v>
      </x:c>
      <x:c r="N308" s="83" t="str">
        <x:v>유사 UI/기초 로직은 있으나 고객 대상·조건·데이터·적용방식이 달라 사양확정과 전용 로직·검증이 필요</x:v>
      </x:c>
    </x:row>
    <x:row r="309" ht="42" customHeight="1">
      <x:c r="A309" s="83" t="str">
        <x:v>RD-007</x:v>
      </x:c>
      <x:c r="B309" s="83" t="str">
        <x:v>모델 별 기준 위치 입력</x:v>
      </x:c>
      <x:c r="C309" s="83" t="n">
        <x:v>87</x:v>
      </x:c>
      <x:c r="D309" s="83" t="str">
        <x:v>기능</x:v>
      </x:c>
      <x:c r="E309" s="83" t="str">
        <x:v>Align 기능 구현</x:v>
      </x:c>
      <x:c r="F309" s="83" t="str">
        <x:v>07-01</x:v>
      </x:c>
      <x:c r="G309" s="83" t="str">
        <x:v>Cell Align·좌표생성</x:v>
      </x:c>
      <x:c r="H309" s="83" t="str">
        <x:v>E-REVIEW</x:v>
      </x:c>
      <x:c r="I309" s="83" t="str">
        <x:v>Drilling.Common/Review/CReviewManager.cs</x:v>
      </x:c>
      <x:c r="J309" s="83" t="str">
        <x:v>CReviewManager</x:v>
      </x:c>
      <x:c r="K309" s="83" t="str">
        <x:v>CreatePlan</x:v>
      </x:c>
      <x:c r="L309" s="83" t="str">
        <x:v>부분 반영</x:v>
      </x:c>
      <x:c r="M309" s="84" t="n">
        <x:v>0.79</x:v>
      </x:c>
      <x:c r="N309" s="83" t="str">
        <x:v>일부 구현은 확인되나 실장비 연동, Timeout/Alarm/Recovery, 저장·복원 또는 고객 수용시험 증빙이 부족</x:v>
      </x:c>
    </x:row>
    <x:row r="310" ht="42" customHeight="1">
      <x:c r="A310" s="83" t="str">
        <x:v>RD-007</x:v>
      </x:c>
      <x:c r="B310" s="83" t="str">
        <x:v>모델 별 기준 위치 입력</x:v>
      </x:c>
      <x:c r="C310" s="83" t="n">
        <x:v>87</x:v>
      </x:c>
      <x:c r="D310" s="83" t="str">
        <x:v>기능</x:v>
      </x:c>
      <x:c r="E310" s="83" t="str">
        <x:v>Align 기능 구현</x:v>
      </x:c>
      <x:c r="F310" s="83" t="str">
        <x:v>04-02</x:v>
      </x:c>
      <x:c r="G310" s="83" t="str">
        <x:v>좌표·가공·보정 Data 모델</x:v>
      </x:c>
      <x:c r="H310" s="83" t="str">
        <x:v>E-REVIEW</x:v>
      </x:c>
      <x:c r="I310" s="83" t="str">
        <x:v>Drilling.Common/Review/CReviewManager.cs</x:v>
      </x:c>
      <x:c r="J310" s="83" t="str">
        <x:v>CReviewManager</x:v>
      </x:c>
      <x:c r="K310" s="83" t="str">
        <x:v>CreatePlan</x:v>
      </x:c>
      <x:c r="L310" s="83" t="str">
        <x:v>부분 반영</x:v>
      </x:c>
      <x:c r="M310" s="84" t="n">
        <x:v>0.79</x:v>
      </x:c>
      <x:c r="N310" s="83" t="str">
        <x:v>일부 구현은 확인되나 실장비 연동, Timeout/Alarm/Recovery, 저장·복원 또는 고객 수용시험 증빙이 부족</x:v>
      </x:c>
    </x:row>
    <x:row r="311" ht="42" customHeight="1">
      <x:c r="A311" s="83" t="str">
        <x:v>RD-007</x:v>
      </x:c>
      <x:c r="B311" s="83" t="str">
        <x:v>모델 별 기준 위치 입력</x:v>
      </x:c>
      <x:c r="C311" s="83" t="n">
        <x:v>94</x:v>
      </x:c>
      <x:c r="D311" s="83" t="str">
        <x:v>기능</x:v>
      </x:c>
      <x:c r="E311" s="83" t="str">
        <x:v>Recipe Parameter - 목록 확정</x:v>
      </x:c>
      <x:c r="F311" s="83" t="str">
        <x:v>07-01</x:v>
      </x:c>
      <x:c r="G311" s="83" t="str">
        <x:v>Cell Align·좌표생성</x:v>
      </x:c>
      <x:c r="H311" s="83" t="str">
        <x:v>E-RECIPE-FILE</x:v>
      </x:c>
      <x:c r="I311" s="83" t="str">
        <x:v>Drilling.File/JHMI/CJhmiRecipeFile.cs</x:v>
      </x:c>
      <x:c r="J311" s="83" t="str">
        <x:v>CJhmiRecipeFile</x:v>
      </x:c>
      <x:c r="K311" s="83" t="str">
        <x:v>Save</x:v>
      </x:c>
      <x:c r="L311" s="83" t="str">
        <x:v>부분 반영</x:v>
      </x:c>
      <x:c r="M311" s="84" t="n">
        <x:v>0.79</x:v>
      </x:c>
      <x:c r="N311" s="83" t="str">
        <x:v>일부 구현은 확인되나 실장비 연동, Timeout/Alarm/Recovery, 저장·복원 또는 고객 수용시험 증빙이 부족</x:v>
      </x:c>
    </x:row>
    <x:row r="312" ht="42" customHeight="1">
      <x:c r="A312" s="83" t="str">
        <x:v>RD-007</x:v>
      </x:c>
      <x:c r="B312" s="83" t="str">
        <x:v>모델 별 기준 위치 입력</x:v>
      </x:c>
      <x:c r="C312" s="83" t="n">
        <x:v>94</x:v>
      </x:c>
      <x:c r="D312" s="83" t="str">
        <x:v>기능</x:v>
      </x:c>
      <x:c r="E312" s="83" t="str">
        <x:v>Recipe Parameter - 목록 확정</x:v>
      </x:c>
      <x:c r="F312" s="83" t="str">
        <x:v>04-02</x:v>
      </x:c>
      <x:c r="G312" s="83" t="str">
        <x:v>좌표·가공·보정 Data 모델</x:v>
      </x:c>
      <x:c r="H312" s="83" t="str">
        <x:v>E-RECIPE-FILE</x:v>
      </x:c>
      <x:c r="I312" s="83" t="str">
        <x:v>Drilling.File/JHMI/CJhmiRecipeFile.cs</x:v>
      </x:c>
      <x:c r="J312" s="83" t="str">
        <x:v>CJhmiRecipeFile</x:v>
      </x:c>
      <x:c r="K312" s="83" t="str">
        <x:v>Save</x:v>
      </x:c>
      <x:c r="L312" s="83" t="str">
        <x:v>부분 반영</x:v>
      </x:c>
      <x:c r="M312" s="84" t="n">
        <x:v>0.79</x:v>
      </x:c>
      <x:c r="N312" s="83" t="str">
        <x:v>일부 구현은 확인되나 실장비 연동, Timeout/Alarm/Recovery, 저장·복원 또는 고객 수용시험 증빙이 부족</x:v>
      </x:c>
    </x:row>
    <x:row r="313" ht="42" customHeight="1">
      <x:c r="A313" s="83" t="str">
        <x:v>RD-007</x:v>
      </x:c>
      <x:c r="B313" s="83" t="str">
        <x:v>모델 별 기준 위치 입력</x:v>
      </x:c>
      <x:c r="C313" s="83" t="n">
        <x:v>113</x:v>
      </x:c>
      <x:c r="D313" s="83" t="str">
        <x:v>기능</x:v>
      </x:c>
      <x:c r="E313" s="83" t="str">
        <x:v>Distortion Key 6개 - 데이터 모델 반영 구현</x:v>
      </x:c>
      <x:c r="F313" s="83" t="str">
        <x:v>07-01</x:v>
      </x:c>
      <x:c r="G313" s="83" t="str">
        <x:v>Cell Align·좌표생성</x:v>
      </x:c>
      <x:c r="H313" s="83" t="str">
        <x:v>E-DISTORTION</x:v>
      </x:c>
      <x:c r="I313" s="83" t="str">
        <x:v>Drilling.UI/Menu/Menus/CMenuRecipe.cs</x:v>
      </x:c>
      <x:c r="J313" s="83" t="str">
        <x:v>CMenuRecipe</x:v>
      </x:c>
      <x:c r="K313" s="83" t="str">
        <x:v>DISTORTION_KEY</x:v>
      </x:c>
      <x:c r="L313" s="83" t="str">
        <x:v>부분 반영</x:v>
      </x:c>
      <x:c r="M313" s="84" t="n">
        <x:v>0.79</x:v>
      </x:c>
      <x:c r="N313" s="83" t="str">
        <x:v>일부 구현은 확인되나 실장비 연동, Timeout/Alarm/Recovery, 저장·복원 또는 고객 수용시험 증빙이 부족</x:v>
      </x:c>
    </x:row>
    <x:row r="314" ht="42" customHeight="1">
      <x:c r="A314" s="83" t="str">
        <x:v>RD-007</x:v>
      </x:c>
      <x:c r="B314" s="83" t="str">
        <x:v>모델 별 기준 위치 입력</x:v>
      </x:c>
      <x:c r="C314" s="83" t="n">
        <x:v>113</x:v>
      </x:c>
      <x:c r="D314" s="83" t="str">
        <x:v>기능</x:v>
      </x:c>
      <x:c r="E314" s="83" t="str">
        <x:v>Distortion Key 6개 - 데이터 모델 반영 구현</x:v>
      </x:c>
      <x:c r="F314" s="83" t="str">
        <x:v>04-02</x:v>
      </x:c>
      <x:c r="G314" s="83" t="str">
        <x:v>좌표·가공·보정 Data 모델</x:v>
      </x:c>
      <x:c r="H314" s="83" t="str">
        <x:v>E-DISTORTION</x:v>
      </x:c>
      <x:c r="I314" s="83" t="str">
        <x:v>Drilling.UI/Menu/Menus/CMenuRecipe.cs</x:v>
      </x:c>
      <x:c r="J314" s="83" t="str">
        <x:v>CMenuRecipe</x:v>
      </x:c>
      <x:c r="K314" s="83" t="str">
        <x:v>DISTORTION_KEY</x:v>
      </x:c>
      <x:c r="L314" s="83" t="str">
        <x:v>부분 반영</x:v>
      </x:c>
      <x:c r="M314" s="84" t="n">
        <x:v>0.79</x:v>
      </x:c>
      <x:c r="N314" s="83" t="str">
        <x:v>일부 구현은 확인되나 실장비 연동, Timeout/Alarm/Recovery, 저장·복원 또는 고객 수용시험 증빙이 부족</x:v>
      </x:c>
    </x:row>
    <x:row r="315" ht="42" customHeight="1">
      <x:c r="A315" s="83" t="str">
        <x:v>RD-007</x:v>
      </x:c>
      <x:c r="B315" s="83" t="str">
        <x:v>모델 별 기준 위치 입력</x:v>
      </x:c>
      <x:c r="C315" s="83" t="n">
        <x:v>117</x:v>
      </x:c>
      <x:c r="D315" s="83" t="str">
        <x:v>기능</x:v>
      </x:c>
      <x:c r="E315" s="83" t="str">
        <x:v>좌표 연동 구현</x:v>
      </x:c>
      <x:c r="F315" s="83" t="str">
        <x:v>07-01</x:v>
      </x:c>
      <x:c r="G315" s="83" t="str">
        <x:v>Cell Align·좌표생성</x:v>
      </x:c>
      <x:c r="H315" s="83" t="str">
        <x:v>E-COORD</x:v>
      </x:c>
      <x:c r="I315" s="83" t="str">
        <x:v>Drilling.Common/Recipe/CRecipeHolePlan.cs</x:v>
      </x:c>
      <x:c r="J315" s="83" t="str">
        <x:v>CRecipeHolePlan</x:v>
      </x:c>
      <x:c r="K315" s="83" t="str">
        <x:v>Build</x:v>
      </x:c>
      <x:c r="L315" s="83" t="str">
        <x:v>부분 반영</x:v>
      </x:c>
      <x:c r="M315" s="84" t="n">
        <x:v>0.79</x:v>
      </x:c>
      <x:c r="N315" s="83" t="str">
        <x:v>일부 구현은 확인되나 실장비 연동, Timeout/Alarm/Recovery, 저장·복원 또는 고객 수용시험 증빙이 부족</x:v>
      </x:c>
    </x:row>
    <x:row r="316" ht="42" customHeight="1">
      <x:c r="A316" s="83" t="str">
        <x:v>RD-007</x:v>
      </x:c>
      <x:c r="B316" s="83" t="str">
        <x:v>모델 별 기준 위치 입력</x:v>
      </x:c>
      <x:c r="C316" s="83" t="n">
        <x:v>117</x:v>
      </x:c>
      <x:c r="D316" s="83" t="str">
        <x:v>기능</x:v>
      </x:c>
      <x:c r="E316" s="83" t="str">
        <x:v>좌표 연동 구현</x:v>
      </x:c>
      <x:c r="F316" s="83" t="str">
        <x:v>04-02</x:v>
      </x:c>
      <x:c r="G316" s="83" t="str">
        <x:v>좌표·가공·보정 Data 모델</x:v>
      </x:c>
      <x:c r="H316" s="83" t="str">
        <x:v>E-COORD</x:v>
      </x:c>
      <x:c r="I316" s="83" t="str">
        <x:v>Drilling.Common/Recipe/CRecipeHolePlan.cs</x:v>
      </x:c>
      <x:c r="J316" s="83" t="str">
        <x:v>CRecipeHolePlan</x:v>
      </x:c>
      <x:c r="K316" s="83" t="str">
        <x:v>Build</x:v>
      </x:c>
      <x:c r="L316" s="83" t="str">
        <x:v>부분 반영</x:v>
      </x:c>
      <x:c r="M316" s="84" t="n">
        <x:v>0.79</x:v>
      </x:c>
      <x:c r="N316" s="83" t="str">
        <x:v>일부 구현은 확인되나 실장비 연동, Timeout/Alarm/Recovery, 저장·복원 또는 고객 수용시험 증빙이 부족</x:v>
      </x:c>
    </x:row>
    <x:row r="317" ht="42" customHeight="1">
      <x:c r="A317" s="83" t="str">
        <x:v>IC-001</x:v>
      </x:c>
      <x:c r="B317" s="83" t="str">
        <x:v>IOF/PtoP 검사 실행</x:v>
      </x:c>
      <x:c r="C317" s="83" t="n">
        <x:v>55</x:v>
      </x:c>
      <x:c r="D317" s="83" t="str">
        <x:v>Sequence</x:v>
      </x:c>
      <x:c r="E317" s="83" t="str">
        <x:v>Review Step 구현</x:v>
      </x:c>
      <x:c r="F317" s="83" t="str">
        <x:v>06-05</x:v>
      </x:c>
      <x:c r="G317" s="83" t="str">
        <x:v>Flying 검사</x:v>
      </x:c>
      <x:c r="H317" s="83" t="str">
        <x:v>E-SEQUENCE</x:v>
      </x:c>
      <x:c r="I317" s="83" t="str">
        <x:v>Drilling.Common/Station/CStationProcess.cs</x:v>
      </x:c>
      <x:c r="J317" s="83" t="str">
        <x:v>CStationProcess</x:v>
      </x:c>
      <x:c r="K317" s="83" t="str">
        <x:v>RunPreCheck</x:v>
      </x:c>
      <x:c r="L317" s="83" t="str">
        <x:v>미반영</x:v>
      </x:c>
      <x:c r="M317" s="84" t="n">
        <x:v>0.79</x:v>
      </x:c>
      <x:c r="N317" s="83" t="str">
        <x:v>전용 Driver/Sequence/UI/데이터 모델의 직접 구현 근거가 없어 신규 구현과 단위·통합·실장비 시험이 필요</x:v>
      </x:c>
    </x:row>
    <x:row r="318" ht="42" customHeight="1">
      <x:c r="A318" s="83" t="str">
        <x:v>IC-001</x:v>
      </x:c>
      <x:c r="B318" s="83" t="str">
        <x:v>IOF/PtoP 검사 실행</x:v>
      </x:c>
      <x:c r="C318" s="83" t="n">
        <x:v>89</x:v>
      </x:c>
      <x:c r="D318" s="83" t="str">
        <x:v>기능</x:v>
      </x:c>
      <x:c r="E318" s="83" t="str">
        <x:v>Review - 측정 명령 구현</x:v>
      </x:c>
      <x:c r="F318" s="83" t="str">
        <x:v>06-05</x:v>
      </x:c>
      <x:c r="G318" s="83" t="str">
        <x:v>Flying 검사</x:v>
      </x:c>
      <x:c r="H318" s="83" t="str">
        <x:v>E-REVIEW</x:v>
      </x:c>
      <x:c r="I318" s="83" t="str">
        <x:v>Drilling.Common/Review/CReviewManager.cs</x:v>
      </x:c>
      <x:c r="J318" s="83" t="str">
        <x:v>CReviewManager</x:v>
      </x:c>
      <x:c r="K318" s="83" t="str">
        <x:v>CreatePlan</x:v>
      </x:c>
      <x:c r="L318" s="83" t="str">
        <x:v>미반영</x:v>
      </x:c>
      <x:c r="M318" s="84" t="n">
        <x:v>0.79</x:v>
      </x:c>
      <x:c r="N318" s="83" t="str">
        <x:v>전용 Driver/Sequence/UI/데이터 모델의 직접 구현 근거가 없어 신규 구현과 단위·통합·실장비 시험이 필요</x:v>
      </x:c>
    </x:row>
    <x:row r="319" ht="42" customHeight="1">
      <x:c r="A319" s="83" t="str">
        <x:v>IC-001</x:v>
      </x:c>
      <x:c r="B319" s="83" t="str">
        <x:v>IOF/PtoP 검사 실행</x:v>
      </x:c>
      <x:c r="C319" s="83" t="n">
        <x:v>90</x:v>
      </x:c>
      <x:c r="D319" s="83" t="str">
        <x:v>기능</x:v>
      </x:c>
      <x:c r="E319" s="83" t="str">
        <x:v>Review - 좌표 처리 구현</x:v>
      </x:c>
      <x:c r="F319" s="83" t="str">
        <x:v>06-05</x:v>
      </x:c>
      <x:c r="G319" s="83" t="str">
        <x:v>Flying 검사</x:v>
      </x:c>
      <x:c r="H319" s="83" t="str">
        <x:v>E-REVIEW</x:v>
      </x:c>
      <x:c r="I319" s="83" t="str">
        <x:v>Drilling.Common/Review/CReviewManager.cs</x:v>
      </x:c>
      <x:c r="J319" s="83" t="str">
        <x:v>CReviewManager</x:v>
      </x:c>
      <x:c r="K319" s="83" t="str">
        <x:v>CreatePlan</x:v>
      </x:c>
      <x:c r="L319" s="83" t="str">
        <x:v>미반영</x:v>
      </x:c>
      <x:c r="M319" s="84" t="n">
        <x:v>0.79</x:v>
      </x:c>
      <x:c r="N319" s="83" t="str">
        <x:v>전용 Driver/Sequence/UI/데이터 모델의 직접 구현 근거가 없어 신규 구현과 단위·통합·실장비 시험이 필요</x:v>
      </x:c>
    </x:row>
    <x:row r="320" ht="42" customHeight="1">
      <x:c r="A320" s="83" t="str">
        <x:v>IC-002</x:v>
      </x:c>
      <x:c r="B320" s="83" t="str">
        <x:v>Fine 보정</x:v>
      </x:c>
      <x:c r="C320" s="83" t="n">
        <x:v>55</x:v>
      </x:c>
      <x:c r="D320" s="83" t="str">
        <x:v>Sequence</x:v>
      </x:c>
      <x:c r="E320" s="83" t="str">
        <x:v>Review Step 구현</x:v>
      </x:c>
      <x:c r="F320" s="83" t="str">
        <x:v>07-05</x:v>
      </x:c>
      <x:c r="G320" s="83" t="str">
        <x:v>Review 계획·측정·재검사</x:v>
      </x:c>
      <x:c r="H320" s="83" t="str">
        <x:v>E-SEQUENCE</x:v>
      </x:c>
      <x:c r="I320" s="83" t="str">
        <x:v>Drilling.Common/Station/CStationProcess.cs</x:v>
      </x:c>
      <x:c r="J320" s="83" t="str">
        <x:v>CStationProcess</x:v>
      </x:c>
      <x:c r="K320" s="83" t="str">
        <x:v>RunPreCheck</x:v>
      </x:c>
      <x:c r="L320" s="83" t="str">
        <x:v>유사하나 불충분</x:v>
      </x:c>
      <x:c r="M320" s="84" t="n">
        <x:v>0.79</x:v>
      </x:c>
      <x:c r="N320" s="83" t="str">
        <x:v>유사 UI/기초 로직은 있으나 고객 대상·조건·데이터·적용방식이 달라 사양확정과 전용 로직·검증이 필요</x:v>
      </x:c>
    </x:row>
    <x:row r="321" ht="42" customHeight="1">
      <x:c r="A321" s="83" t="str">
        <x:v>IC-002</x:v>
      </x:c>
      <x:c r="B321" s="83" t="str">
        <x:v>Fine 보정</x:v>
      </x:c>
      <x:c r="C321" s="83" t="n">
        <x:v>89</x:v>
      </x:c>
      <x:c r="D321" s="83" t="str">
        <x:v>기능</x:v>
      </x:c>
      <x:c r="E321" s="83" t="str">
        <x:v>Review - 측정 명령 구현</x:v>
      </x:c>
      <x:c r="F321" s="83" t="str">
        <x:v>07-05</x:v>
      </x:c>
      <x:c r="G321" s="83" t="str">
        <x:v>Review 계획·측정·재검사</x:v>
      </x:c>
      <x:c r="H321" s="83" t="str">
        <x:v>E-REVIEW</x:v>
      </x:c>
      <x:c r="I321" s="83" t="str">
        <x:v>Drilling.Common/Review/CReviewManager.cs</x:v>
      </x:c>
      <x:c r="J321" s="83" t="str">
        <x:v>CReviewManager</x:v>
      </x:c>
      <x:c r="K321" s="83" t="str">
        <x:v>CreatePlan</x:v>
      </x:c>
      <x:c r="L321" s="83" t="str">
        <x:v>유사하나 불충분</x:v>
      </x:c>
      <x:c r="M321" s="84" t="n">
        <x:v>0.79</x:v>
      </x:c>
      <x:c r="N321" s="83" t="str">
        <x:v>유사 UI/기초 로직은 있으나 고객 대상·조건·데이터·적용방식이 달라 사양확정과 전용 로직·검증이 필요</x:v>
      </x:c>
    </x:row>
    <x:row r="322" ht="42" customHeight="1">
      <x:c r="A322" s="83" t="str">
        <x:v>IC-002</x:v>
      </x:c>
      <x:c r="B322" s="83" t="str">
        <x:v>Fine 보정</x:v>
      </x:c>
      <x:c r="C322" s="83" t="n">
        <x:v>90</x:v>
      </x:c>
      <x:c r="D322" s="83" t="str">
        <x:v>기능</x:v>
      </x:c>
      <x:c r="E322" s="83" t="str">
        <x:v>Review - 좌표 처리 구현</x:v>
      </x:c>
      <x:c r="F322" s="83" t="str">
        <x:v>07-05</x:v>
      </x:c>
      <x:c r="G322" s="83" t="str">
        <x:v>Review 계획·측정·재검사</x:v>
      </x:c>
      <x:c r="H322" s="83" t="str">
        <x:v>E-REVIEW</x:v>
      </x:c>
      <x:c r="I322" s="83" t="str">
        <x:v>Drilling.Common/Review/CReviewManager.cs</x:v>
      </x:c>
      <x:c r="J322" s="83" t="str">
        <x:v>CReviewManager</x:v>
      </x:c>
      <x:c r="K322" s="83" t="str">
        <x:v>CreatePlan</x:v>
      </x:c>
      <x:c r="L322" s="83" t="str">
        <x:v>유사하나 불충분</x:v>
      </x:c>
      <x:c r="M322" s="84" t="n">
        <x:v>0.79</x:v>
      </x:c>
      <x:c r="N322" s="83" t="str">
        <x:v>유사 UI/기초 로직은 있으나 고객 대상·조건·데이터·적용방식이 달라 사양확정과 전용 로직·검증이 필요</x:v>
      </x:c>
    </x:row>
    <x:row r="323" ht="42" customHeight="1">
      <x:c r="A323" s="83" t="str">
        <x:v>IC-002</x:v>
      </x:c>
      <x:c r="B323" s="83" t="str">
        <x:v>Fine 보정</x:v>
      </x:c>
      <x:c r="C323" s="83" t="n">
        <x:v>91</x:v>
      </x:c>
      <x:c r="D323" s="83" t="str">
        <x:v>기능</x:v>
      </x:c>
      <x:c r="E323" s="83" t="str">
        <x:v>Review - Offset 결과 수신 및 저장 구현</x:v>
      </x:c>
      <x:c r="F323" s="83" t="str">
        <x:v>07-05</x:v>
      </x:c>
      <x:c r="G323" s="83" t="str">
        <x:v>Review 계획·측정·재검사</x:v>
      </x:c>
      <x:c r="H323" s="83" t="str">
        <x:v>E-REVIEW</x:v>
      </x:c>
      <x:c r="I323" s="83" t="str">
        <x:v>Drilling.Common/Review/CReviewManager.cs</x:v>
      </x:c>
      <x:c r="J323" s="83" t="str">
        <x:v>CReviewManager</x:v>
      </x:c>
      <x:c r="K323" s="83" t="str">
        <x:v>CreatePlan</x:v>
      </x:c>
      <x:c r="L323" s="83" t="str">
        <x:v>유사하나 불충분</x:v>
      </x:c>
      <x:c r="M323" s="84" t="n">
        <x:v>0.79</x:v>
      </x:c>
      <x:c r="N323" s="83" t="str">
        <x:v>유사 UI/기초 로직은 있으나 고객 대상·조건·데이터·적용방식이 달라 사양확정과 전용 로직·검증이 필요</x:v>
      </x:c>
    </x:row>
    <x:row r="324" ht="42" customHeight="1">
      <x:c r="A324" s="83" t="str">
        <x:v>IC-002</x:v>
      </x:c>
      <x:c r="B324" s="83" t="str">
        <x:v>Fine 보정</x:v>
      </x:c>
      <x:c r="C324" s="83" t="n">
        <x:v>92</x:v>
      </x:c>
      <x:c r="D324" s="83" t="str">
        <x:v>기능</x:v>
      </x:c>
      <x:c r="E324" s="83" t="str">
        <x:v>Review - Offset 적용 구현</x:v>
      </x:c>
      <x:c r="F324" s="83" t="str">
        <x:v>07-05</x:v>
      </x:c>
      <x:c r="G324" s="83" t="str">
        <x:v>Review 계획·측정·재검사</x:v>
      </x:c>
      <x:c r="H324" s="83" t="str">
        <x:v>E-REVIEW</x:v>
      </x:c>
      <x:c r="I324" s="83" t="str">
        <x:v>Drilling.Common/Review/CReviewManager.cs</x:v>
      </x:c>
      <x:c r="J324" s="83" t="str">
        <x:v>CReviewManager</x:v>
      </x:c>
      <x:c r="K324" s="83" t="str">
        <x:v>CreatePlan</x:v>
      </x:c>
      <x:c r="L324" s="83" t="str">
        <x:v>유사하나 불충분</x:v>
      </x:c>
      <x:c r="M324" s="84" t="n">
        <x:v>0.79</x:v>
      </x:c>
      <x:c r="N324" s="83" t="str">
        <x:v>유사 UI/기초 로직은 있으나 고객 대상·조건·데이터·적용방식이 달라 사양확정과 전용 로직·검증이 필요</x:v>
      </x:c>
    </x:row>
    <x:row r="325" ht="42" customHeight="1">
      <x:c r="A325" s="83" t="str">
        <x:v>IC-003</x:v>
      </x:c>
      <x:c r="B325" s="83" t="str">
        <x:v>Rough 보정</x:v>
      </x:c>
      <x:c r="C325" s="83" t="n">
        <x:v>55</x:v>
      </x:c>
      <x:c r="D325" s="83" t="str">
        <x:v>Sequence</x:v>
      </x:c>
      <x:c r="E325" s="83" t="str">
        <x:v>Review Step 구현</x:v>
      </x:c>
      <x:c r="F325" s="83" t="str">
        <x:v>07-05</x:v>
      </x:c>
      <x:c r="G325" s="83" t="str">
        <x:v>Review 계획·측정·재검사</x:v>
      </x:c>
      <x:c r="H325" s="83" t="str">
        <x:v>E-SEQUENCE</x:v>
      </x:c>
      <x:c r="I325" s="83" t="str">
        <x:v>Drilling.Common/Station/CStationProcess.cs</x:v>
      </x:c>
      <x:c r="J325" s="83" t="str">
        <x:v>CStationProcess</x:v>
      </x:c>
      <x:c r="K325" s="83" t="str">
        <x:v>RunPreCheck</x:v>
      </x:c>
      <x:c r="L325" s="83" t="str">
        <x:v>미반영</x:v>
      </x:c>
      <x:c r="M325" s="84" t="n">
        <x:v>0.79</x:v>
      </x:c>
      <x:c r="N325" s="83" t="str">
        <x:v>전용 Driver/Sequence/UI/데이터 모델의 직접 구현 근거가 없어 신규 구현과 단위·통합·실장비 시험이 필요</x:v>
      </x:c>
    </x:row>
    <x:row r="326" ht="42" customHeight="1">
      <x:c r="A326" s="83" t="str">
        <x:v>IC-003</x:v>
      </x:c>
      <x:c r="B326" s="83" t="str">
        <x:v>Rough 보정</x:v>
      </x:c>
      <x:c r="C326" s="83" t="n">
        <x:v>89</x:v>
      </x:c>
      <x:c r="D326" s="83" t="str">
        <x:v>기능</x:v>
      </x:c>
      <x:c r="E326" s="83" t="str">
        <x:v>Review - 측정 명령 구현</x:v>
      </x:c>
      <x:c r="F326" s="83" t="str">
        <x:v>07-05</x:v>
      </x:c>
      <x:c r="G326" s="83" t="str">
        <x:v>Review 계획·측정·재검사</x:v>
      </x:c>
      <x:c r="H326" s="83" t="str">
        <x:v>E-REVIEW</x:v>
      </x:c>
      <x:c r="I326" s="83" t="str">
        <x:v>Drilling.Common/Review/CReviewManager.cs</x:v>
      </x:c>
      <x:c r="J326" s="83" t="str">
        <x:v>CReviewManager</x:v>
      </x:c>
      <x:c r="K326" s="83" t="str">
        <x:v>CreatePlan</x:v>
      </x:c>
      <x:c r="L326" s="83" t="str">
        <x:v>미반영</x:v>
      </x:c>
      <x:c r="M326" s="84" t="n">
        <x:v>0.79</x:v>
      </x:c>
      <x:c r="N326" s="83" t="str">
        <x:v>전용 Driver/Sequence/UI/데이터 모델의 직접 구현 근거가 없어 신규 구현과 단위·통합·실장비 시험이 필요</x:v>
      </x:c>
    </x:row>
    <x:row r="327" ht="42" customHeight="1">
      <x:c r="A327" s="83" t="str">
        <x:v>IC-003</x:v>
      </x:c>
      <x:c r="B327" s="83" t="str">
        <x:v>Rough 보정</x:v>
      </x:c>
      <x:c r="C327" s="83" t="n">
        <x:v>90</x:v>
      </x:c>
      <x:c r="D327" s="83" t="str">
        <x:v>기능</x:v>
      </x:c>
      <x:c r="E327" s="83" t="str">
        <x:v>Review - 좌표 처리 구현</x:v>
      </x:c>
      <x:c r="F327" s="83" t="str">
        <x:v>07-05</x:v>
      </x:c>
      <x:c r="G327" s="83" t="str">
        <x:v>Review 계획·측정·재검사</x:v>
      </x:c>
      <x:c r="H327" s="83" t="str">
        <x:v>E-REVIEW</x:v>
      </x:c>
      <x:c r="I327" s="83" t="str">
        <x:v>Drilling.Common/Review/CReviewManager.cs</x:v>
      </x:c>
      <x:c r="J327" s="83" t="str">
        <x:v>CReviewManager</x:v>
      </x:c>
      <x:c r="K327" s="83" t="str">
        <x:v>CreatePlan</x:v>
      </x:c>
      <x:c r="L327" s="83" t="str">
        <x:v>미반영</x:v>
      </x:c>
      <x:c r="M327" s="84" t="n">
        <x:v>0.79</x:v>
      </x:c>
      <x:c r="N327" s="83" t="str">
        <x:v>전용 Driver/Sequence/UI/데이터 모델의 직접 구현 근거가 없어 신규 구현과 단위·통합·실장비 시험이 필요</x:v>
      </x:c>
    </x:row>
    <x:row r="328" ht="42" customHeight="1">
      <x:c r="A328" s="83" t="str">
        <x:v>IC-003</x:v>
      </x:c>
      <x:c r="B328" s="83" t="str">
        <x:v>Rough 보정</x:v>
      </x:c>
      <x:c r="C328" s="83" t="n">
        <x:v>91</x:v>
      </x:c>
      <x:c r="D328" s="83" t="str">
        <x:v>기능</x:v>
      </x:c>
      <x:c r="E328" s="83" t="str">
        <x:v>Review - Offset 결과 수신 및 저장 구현</x:v>
      </x:c>
      <x:c r="F328" s="83" t="str">
        <x:v>07-05</x:v>
      </x:c>
      <x:c r="G328" s="83" t="str">
        <x:v>Review 계획·측정·재검사</x:v>
      </x:c>
      <x:c r="H328" s="83" t="str">
        <x:v>E-REVIEW</x:v>
      </x:c>
      <x:c r="I328" s="83" t="str">
        <x:v>Drilling.Common/Review/CReviewManager.cs</x:v>
      </x:c>
      <x:c r="J328" s="83" t="str">
        <x:v>CReviewManager</x:v>
      </x:c>
      <x:c r="K328" s="83" t="str">
        <x:v>CreatePlan</x:v>
      </x:c>
      <x:c r="L328" s="83" t="str">
        <x:v>미반영</x:v>
      </x:c>
      <x:c r="M328" s="84" t="n">
        <x:v>0.79</x:v>
      </x:c>
      <x:c r="N328" s="83" t="str">
        <x:v>전용 Driver/Sequence/UI/데이터 모델의 직접 구현 근거가 없어 신규 구현과 단위·통합·실장비 시험이 필요</x:v>
      </x:c>
    </x:row>
    <x:row r="329" ht="42" customHeight="1">
      <x:c r="A329" s="83" t="str">
        <x:v>IC-003</x:v>
      </x:c>
      <x:c r="B329" s="83" t="str">
        <x:v>Rough 보정</x:v>
      </x:c>
      <x:c r="C329" s="83" t="n">
        <x:v>92</x:v>
      </x:c>
      <x:c r="D329" s="83" t="str">
        <x:v>기능</x:v>
      </x:c>
      <x:c r="E329" s="83" t="str">
        <x:v>Review - Offset 적용 구현</x:v>
      </x:c>
      <x:c r="F329" s="83" t="str">
        <x:v>07-05</x:v>
      </x:c>
      <x:c r="G329" s="83" t="str">
        <x:v>Review 계획·측정·재검사</x:v>
      </x:c>
      <x:c r="H329" s="83" t="str">
        <x:v>E-REVIEW</x:v>
      </x:c>
      <x:c r="I329" s="83" t="str">
        <x:v>Drilling.Common/Review/CReviewManager.cs</x:v>
      </x:c>
      <x:c r="J329" s="83" t="str">
        <x:v>CReviewManager</x:v>
      </x:c>
      <x:c r="K329" s="83" t="str">
        <x:v>CreatePlan</x:v>
      </x:c>
      <x:c r="L329" s="83" t="str">
        <x:v>미반영</x:v>
      </x:c>
      <x:c r="M329" s="84" t="n">
        <x:v>0.79</x:v>
      </x:c>
      <x:c r="N329" s="83" t="str">
        <x:v>전용 Driver/Sequence/UI/데이터 모델의 직접 구현 근거가 없어 신규 구현과 단위·통합·실장비 시험이 필요</x:v>
      </x:c>
    </x:row>
    <x:row r="330" ht="42" customHeight="1">
      <x:c r="A330" s="83" t="str">
        <x:v>IC-004</x:v>
      </x:c>
      <x:c r="B330" s="83" t="str">
        <x:v>Simple 보정</x:v>
      </x:c>
      <x:c r="C330" s="83" t="n">
        <x:v>92</x:v>
      </x:c>
      <x:c r="D330" s="83" t="str">
        <x:v>기능</x:v>
      </x:c>
      <x:c r="E330" s="83" t="str">
        <x:v>Review - Offset 적용 구현</x:v>
      </x:c>
      <x:c r="F330" s="83" t="str">
        <x:v>07-05</x:v>
      </x:c>
      <x:c r="G330" s="83" t="str">
        <x:v>Review 계획·측정·재검사</x:v>
      </x:c>
      <x:c r="H330" s="83" t="str">
        <x:v>E-REVIEW</x:v>
      </x:c>
      <x:c r="I330" s="83" t="str">
        <x:v>Drilling.Common/Review/CReviewManager.cs</x:v>
      </x:c>
      <x:c r="J330" s="83" t="str">
        <x:v>CReviewManager</x:v>
      </x:c>
      <x:c r="K330" s="83" t="str">
        <x:v>CreatePlan</x:v>
      </x:c>
      <x:c r="L330" s="83" t="str">
        <x:v>부분 반영</x:v>
      </x:c>
      <x:c r="M330" s="84" t="n">
        <x:v>0.84</x:v>
      </x:c>
      <x:c r="N330" s="83" t="str">
        <x:v>일부 구현은 확인되나 실장비 연동, Timeout/Alarm/Recovery, 저장·복원 또는 고객 수용시험 증빙이 부족</x:v>
      </x:c>
    </x:row>
    <x:row r="331" ht="42" customHeight="1">
      <x:c r="A331" s="83" t="str">
        <x:v>IC-004</x:v>
      </x:c>
      <x:c r="B331" s="83" t="str">
        <x:v>Simple 보정</x:v>
      </x:c>
      <x:c r="C331" s="83" t="n">
        <x:v>95</x:v>
      </x:c>
      <x:c r="D331" s="83" t="str">
        <x:v>기능</x:v>
      </x:c>
      <x:c r="E331" s="83" t="str">
        <x:v>Recipe Parameter 수정·저장 기능 구현</x:v>
      </x:c>
      <x:c r="F331" s="83" t="str">
        <x:v>07-05</x:v>
      </x:c>
      <x:c r="G331" s="83" t="str">
        <x:v>Review 계획·측정·재검사</x:v>
      </x:c>
      <x:c r="H331" s="83" t="str">
        <x:v>E-RECIPE-FILE</x:v>
      </x:c>
      <x:c r="I331" s="83" t="str">
        <x:v>Drilling.File/JHMI/CJhmiRecipeFile.cs</x:v>
      </x:c>
      <x:c r="J331" s="83" t="str">
        <x:v>CJhmiRecipeFile</x:v>
      </x:c>
      <x:c r="K331" s="83" t="str">
        <x:v>Save</x:v>
      </x:c>
      <x:c r="L331" s="83" t="str">
        <x:v>부분 반영</x:v>
      </x:c>
      <x:c r="M331" s="84" t="n">
        <x:v>0.84</x:v>
      </x:c>
      <x:c r="N331" s="83" t="str">
        <x:v>일부 구현은 확인되나 실장비 연동, Timeout/Alarm/Recovery, 저장·복원 또는 고객 수용시험 증빙이 부족</x:v>
      </x:c>
    </x:row>
    <x:row r="332" ht="42" customHeight="1">
      <x:c r="A332" s="83" t="str">
        <x:v>IC-004</x:v>
      </x:c>
      <x:c r="B332" s="83" t="str">
        <x:v>Simple 보정</x:v>
      </x:c>
      <x:c r="C332" s="83" t="n">
        <x:v>97</x:v>
      </x:c>
      <x:c r="D332" s="83" t="str">
        <x:v>기능</x:v>
      </x:c>
      <x:c r="E332" s="83" t="str">
        <x:v>Head별 Parameter 수정·저장 기능 구현</x:v>
      </x:c>
      <x:c r="F332" s="83" t="str">
        <x:v>07-05</x:v>
      </x:c>
      <x:c r="G332" s="83" t="str">
        <x:v>Review 계획·측정·재검사</x:v>
      </x:c>
      <x:c r="H332" s="83" t="str">
        <x:v>E-RECIPE-FILE</x:v>
      </x:c>
      <x:c r="I332" s="83" t="str">
        <x:v>Drilling.File/JHMI/CJhmiRecipeFile.cs</x:v>
      </x:c>
      <x:c r="J332" s="83" t="str">
        <x:v>CJhmiRecipeFile</x:v>
      </x:c>
      <x:c r="K332" s="83" t="str">
        <x:v>Save</x:v>
      </x:c>
      <x:c r="L332" s="83" t="str">
        <x:v>부분 반영</x:v>
      </x:c>
      <x:c r="M332" s="84" t="n">
        <x:v>0.84</x:v>
      </x:c>
      <x:c r="N332" s="83" t="str">
        <x:v>일부 구현은 확인되나 실장비 연동, Timeout/Alarm/Recovery, 저장·복원 또는 고객 수용시험 증빙이 부족</x:v>
      </x:c>
    </x:row>
    <x:row r="333" ht="42" customHeight="1">
      <x:c r="A333" s="83" t="str">
        <x:v>IC-004</x:v>
      </x:c>
      <x:c r="B333" s="83" t="str">
        <x:v>Simple 보정</x:v>
      </x:c>
      <x:c r="C333" s="83" t="n">
        <x:v>99</x:v>
      </x:c>
      <x:c r="D333" s="83" t="str">
        <x:v>기능</x:v>
      </x:c>
      <x:c r="E333" s="83" t="str">
        <x:v>Process별 Parameter 수정·저장 기능 구현</x:v>
      </x:c>
      <x:c r="F333" s="83" t="str">
        <x:v>07-05</x:v>
      </x:c>
      <x:c r="G333" s="83" t="str">
        <x:v>Review 계획·측정·재검사</x:v>
      </x:c>
      <x:c r="H333" s="83" t="str">
        <x:v>E-RECIPE-FILE</x:v>
      </x:c>
      <x:c r="I333" s="83" t="str">
        <x:v>Drilling.File/JHMI/CJhmiRecipeFile.cs</x:v>
      </x:c>
      <x:c r="J333" s="83" t="str">
        <x:v>CJhmiRecipeFile</x:v>
      </x:c>
      <x:c r="K333" s="83" t="str">
        <x:v>Save</x:v>
      </x:c>
      <x:c r="L333" s="83" t="str">
        <x:v>부분 반영</x:v>
      </x:c>
      <x:c r="M333" s="84" t="n">
        <x:v>0.84</x:v>
      </x:c>
      <x:c r="N333" s="83" t="str">
        <x:v>일부 구현은 확인되나 실장비 연동, Timeout/Alarm/Recovery, 저장·복원 또는 고객 수용시험 증빙이 부족</x:v>
      </x:c>
    </x:row>
    <x:row r="334" ht="42" customHeight="1">
      <x:c r="A334" s="83" t="str">
        <x:v>IC-005</x:v>
      </x:c>
      <x:c r="B334" s="83" t="str">
        <x:v>MOF Offset 테이블 모니터링</x:v>
      </x:c>
      <x:c r="C334" s="83" t="n">
        <x:v>90</x:v>
      </x:c>
      <x:c r="D334" s="83" t="str">
        <x:v>기능</x:v>
      </x:c>
      <x:c r="E334" s="83" t="str">
        <x:v>Review - 좌표 처리 구현</x:v>
      </x:c>
      <x:c r="F334" s="83" t="str">
        <x:v>07-07</x:v>
      </x:c>
      <x:c r="G334" s="83" t="str">
        <x:v>Rough/Simple/Fine 보정</x:v>
      </x:c>
      <x:c r="H334" s="83" t="str">
        <x:v>E-REVIEW</x:v>
      </x:c>
      <x:c r="I334" s="83" t="str">
        <x:v>Drilling.Common/Review/CReviewManager.cs</x:v>
      </x:c>
      <x:c r="J334" s="83" t="str">
        <x:v>CReviewManager</x:v>
      </x:c>
      <x:c r="K334" s="83" t="str">
        <x:v>CreatePlan</x:v>
      </x:c>
      <x:c r="L334" s="83" t="str">
        <x:v>부분 반영</x:v>
      </x:c>
      <x:c r="M334" s="84" t="n">
        <x:v>0.84</x:v>
      </x:c>
      <x:c r="N334" s="83" t="str">
        <x:v>일부 구현은 확인되나 실장비 연동, Timeout/Alarm/Recovery, 저장·복원 또는 고객 수용시험 증빙이 부족</x:v>
      </x:c>
    </x:row>
    <x:row r="335" ht="42" customHeight="1">
      <x:c r="A335" s="83" t="str">
        <x:v>IC-005</x:v>
      </x:c>
      <x:c r="B335" s="83" t="str">
        <x:v>MOF Offset 테이블 모니터링</x:v>
      </x:c>
      <x:c r="C335" s="83" t="n">
        <x:v>91</x:v>
      </x:c>
      <x:c r="D335" s="83" t="str">
        <x:v>기능</x:v>
      </x:c>
      <x:c r="E335" s="83" t="str">
        <x:v>Review - Offset 결과 수신 및 저장 구현</x:v>
      </x:c>
      <x:c r="F335" s="83" t="str">
        <x:v>07-07</x:v>
      </x:c>
      <x:c r="G335" s="83" t="str">
        <x:v>Rough/Simple/Fine 보정</x:v>
      </x:c>
      <x:c r="H335" s="83" t="str">
        <x:v>E-REVIEW</x:v>
      </x:c>
      <x:c r="I335" s="83" t="str">
        <x:v>Drilling.Common/Review/CReviewManager.cs</x:v>
      </x:c>
      <x:c r="J335" s="83" t="str">
        <x:v>CReviewManager</x:v>
      </x:c>
      <x:c r="K335" s="83" t="str">
        <x:v>CreatePlan</x:v>
      </x:c>
      <x:c r="L335" s="83" t="str">
        <x:v>부분 반영</x:v>
      </x:c>
      <x:c r="M335" s="84" t="n">
        <x:v>0.84</x:v>
      </x:c>
      <x:c r="N335" s="83" t="str">
        <x:v>일부 구현은 확인되나 실장비 연동, Timeout/Alarm/Recovery, 저장·복원 또는 고객 수용시험 증빙이 부족</x:v>
      </x:c>
    </x:row>
    <x:row r="336" ht="42" customHeight="1">
      <x:c r="A336" s="83" t="str">
        <x:v>IC-005</x:v>
      </x:c>
      <x:c r="B336" s="83" t="str">
        <x:v>MOF Offset 테이블 모니터링</x:v>
      </x:c>
      <x:c r="C336" s="83" t="n">
        <x:v>92</x:v>
      </x:c>
      <x:c r="D336" s="83" t="str">
        <x:v>기능</x:v>
      </x:c>
      <x:c r="E336" s="83" t="str">
        <x:v>Review - Offset 적용 구현</x:v>
      </x:c>
      <x:c r="F336" s="83" t="str">
        <x:v>07-07</x:v>
      </x:c>
      <x:c r="G336" s="83" t="str">
        <x:v>Rough/Simple/Fine 보정</x:v>
      </x:c>
      <x:c r="H336" s="83" t="str">
        <x:v>E-REVIEW</x:v>
      </x:c>
      <x:c r="I336" s="83" t="str">
        <x:v>Drilling.Common/Review/CReviewManager.cs</x:v>
      </x:c>
      <x:c r="J336" s="83" t="str">
        <x:v>CReviewManager</x:v>
      </x:c>
      <x:c r="K336" s="83" t="str">
        <x:v>CreatePlan</x:v>
      </x:c>
      <x:c r="L336" s="83" t="str">
        <x:v>부분 반영</x:v>
      </x:c>
      <x:c r="M336" s="84" t="n">
        <x:v>0.84</x:v>
      </x:c>
      <x:c r="N336" s="83" t="str">
        <x:v>일부 구현은 확인되나 실장비 연동, Timeout/Alarm/Recovery, 저장·복원 또는 고객 수용시험 증빙이 부족</x:v>
      </x:c>
    </x:row>
    <x:row r="337" ht="42" customHeight="1">
      <x:c r="A337" s="83" t="str">
        <x:v>IC-005</x:v>
      </x:c>
      <x:c r="B337" s="83" t="str">
        <x:v>MOF Offset 테이블 모니터링</x:v>
      </x:c>
      <x:c r="C337" s="83" t="n">
        <x:v>95</x:v>
      </x:c>
      <x:c r="D337" s="83" t="str">
        <x:v>기능</x:v>
      </x:c>
      <x:c r="E337" s="83" t="str">
        <x:v>Recipe Parameter 수정·저장 기능 구현</x:v>
      </x:c>
      <x:c r="F337" s="83" t="str">
        <x:v>07-07</x:v>
      </x:c>
      <x:c r="G337" s="83" t="str">
        <x:v>Rough/Simple/Fine 보정</x:v>
      </x:c>
      <x:c r="H337" s="83" t="str">
        <x:v>E-RECIPE-FILE</x:v>
      </x:c>
      <x:c r="I337" s="83" t="str">
        <x:v>Drilling.File/JHMI/CJhmiRecipeFile.cs</x:v>
      </x:c>
      <x:c r="J337" s="83" t="str">
        <x:v>CJhmiRecipeFile</x:v>
      </x:c>
      <x:c r="K337" s="83" t="str">
        <x:v>Save</x:v>
      </x:c>
      <x:c r="L337" s="83" t="str">
        <x:v>부분 반영</x:v>
      </x:c>
      <x:c r="M337" s="84" t="n">
        <x:v>0.84</x:v>
      </x:c>
      <x:c r="N337" s="83" t="str">
        <x:v>일부 구현은 확인되나 실장비 연동, Timeout/Alarm/Recovery, 저장·복원 또는 고객 수용시험 증빙이 부족</x:v>
      </x:c>
    </x:row>
    <x:row r="338" ht="42" customHeight="1">
      <x:c r="A338" s="83" t="str">
        <x:v>IC-006</x:v>
      </x:c>
      <x:c r="B338" s="83" t="str">
        <x:v>검사 옵션 세팅</x:v>
      </x:c>
      <x:c r="C338" s="83" t="n">
        <x:v>55</x:v>
      </x:c>
      <x:c r="D338" s="83" t="str">
        <x:v>Sequence</x:v>
      </x:c>
      <x:c r="E338" s="83" t="str">
        <x:v>Review Step 구현</x:v>
      </x:c>
      <x:c r="F338" s="83" t="str">
        <x:v>07-04</x:v>
      </x:c>
      <x:c r="G338" s="83" t="str">
        <x:v>Review 기준점·Branch</x:v>
      </x:c>
      <x:c r="H338" s="83" t="str">
        <x:v>E-SEQUENCE</x:v>
      </x:c>
      <x:c r="I338" s="83" t="str">
        <x:v>Drilling.Common/Station/CStationProcess.cs</x:v>
      </x:c>
      <x:c r="J338" s="83" t="str">
        <x:v>CStationProcess</x:v>
      </x:c>
      <x:c r="K338" s="83" t="str">
        <x:v>RunPreCheck</x:v>
      </x:c>
      <x:c r="L338" s="83" t="str">
        <x:v>부분 반영</x:v>
      </x:c>
      <x:c r="M338" s="84" t="n">
        <x:v>0.82</x:v>
      </x:c>
      <x:c r="N338" s="83" t="str">
        <x:v>일부 구현은 확인되나 실장비 연동, Timeout/Alarm/Recovery, 저장·복원 또는 고객 수용시험 증빙이 부족</x:v>
      </x:c>
    </x:row>
    <x:row r="339" ht="42" customHeight="1">
      <x:c r="A339" s="83" t="str">
        <x:v>IC-006</x:v>
      </x:c>
      <x:c r="B339" s="83" t="str">
        <x:v>검사 옵션 세팅</x:v>
      </x:c>
      <x:c r="C339" s="83" t="n">
        <x:v>89</x:v>
      </x:c>
      <x:c r="D339" s="83" t="str">
        <x:v>기능</x:v>
      </x:c>
      <x:c r="E339" s="83" t="str">
        <x:v>Review - 측정 명령 구현</x:v>
      </x:c>
      <x:c r="F339" s="83" t="str">
        <x:v>07-04</x:v>
      </x:c>
      <x:c r="G339" s="83" t="str">
        <x:v>Review 기준점·Branch</x:v>
      </x:c>
      <x:c r="H339" s="83" t="str">
        <x:v>E-REVIEW</x:v>
      </x:c>
      <x:c r="I339" s="83" t="str">
        <x:v>Drilling.Common/Review/CReviewManager.cs</x:v>
      </x:c>
      <x:c r="J339" s="83" t="str">
        <x:v>CReviewManager</x:v>
      </x:c>
      <x:c r="K339" s="83" t="str">
        <x:v>CreatePlan</x:v>
      </x:c>
      <x:c r="L339" s="83" t="str">
        <x:v>부분 반영</x:v>
      </x:c>
      <x:c r="M339" s="84" t="n">
        <x:v>0.82</x:v>
      </x:c>
      <x:c r="N339" s="83" t="str">
        <x:v>일부 구현은 확인되나 실장비 연동, Timeout/Alarm/Recovery, 저장·복원 또는 고객 수용시험 증빙이 부족</x:v>
      </x:c>
    </x:row>
    <x:row r="340" ht="42" customHeight="1">
      <x:c r="A340" s="83" t="str">
        <x:v>IC-006</x:v>
      </x:c>
      <x:c r="B340" s="83" t="str">
        <x:v>검사 옵션 세팅</x:v>
      </x:c>
      <x:c r="C340" s="83" t="n">
        <x:v>94</x:v>
      </x:c>
      <x:c r="D340" s="83" t="str">
        <x:v>기능</x:v>
      </x:c>
      <x:c r="E340" s="83" t="str">
        <x:v>Recipe Parameter - 목록 확정</x:v>
      </x:c>
      <x:c r="F340" s="83" t="str">
        <x:v>07-04</x:v>
      </x:c>
      <x:c r="G340" s="83" t="str">
        <x:v>Review 기준점·Branch</x:v>
      </x:c>
      <x:c r="H340" s="83" t="str">
        <x:v>E-RECIPE-FILE</x:v>
      </x:c>
      <x:c r="I340" s="83" t="str">
        <x:v>Drilling.File/JHMI/CJhmiRecipeFile.cs</x:v>
      </x:c>
      <x:c r="J340" s="83" t="str">
        <x:v>CJhmiRecipeFile</x:v>
      </x:c>
      <x:c r="K340" s="83" t="str">
        <x:v>Save</x:v>
      </x:c>
      <x:c r="L340" s="83" t="str">
        <x:v>부분 반영</x:v>
      </x:c>
      <x:c r="M340" s="84" t="n">
        <x:v>0.82</x:v>
      </x:c>
      <x:c r="N340" s="83" t="str">
        <x:v>일부 구현은 확인되나 실장비 연동, Timeout/Alarm/Recovery, 저장·복원 또는 고객 수용시험 증빙이 부족</x:v>
      </x:c>
    </x:row>
    <x:row r="341" ht="42" customHeight="1">
      <x:c r="A341" s="83" t="str">
        <x:v>IC-007</x:v>
      </x:c>
      <x:c r="B341" s="83" t="str">
        <x:v>검사 데이터 모니터링</x:v>
      </x:c>
      <x:c r="C341" s="83" t="n">
        <x:v>55</x:v>
      </x:c>
      <x:c r="D341" s="83" t="str">
        <x:v>Sequence</x:v>
      </x:c>
      <x:c r="E341" s="83" t="str">
        <x:v>Review Step 구현</x:v>
      </x:c>
      <x:c r="F341" s="83" t="str">
        <x:v>07-06</x:v>
      </x:c>
      <x:c r="G341" s="83" t="str">
        <x:v>Review Offset 누적·방향</x:v>
      </x:c>
      <x:c r="H341" s="83" t="str">
        <x:v>E-SEQUENCE</x:v>
      </x:c>
      <x:c r="I341" s="83" t="str">
        <x:v>Drilling.Common/Station/CStationProcess.cs</x:v>
      </x:c>
      <x:c r="J341" s="83" t="str">
        <x:v>CStationProcess</x:v>
      </x:c>
      <x:c r="K341" s="83" t="str">
        <x:v>RunPreCheck</x:v>
      </x:c>
      <x:c r="L341" s="83" t="str">
        <x:v>부분 반영</x:v>
      </x:c>
      <x:c r="M341" s="84" t="n">
        <x:v>0.79</x:v>
      </x:c>
      <x:c r="N341" s="83" t="str">
        <x:v>일부 구현은 확인되나 실장비 연동, Timeout/Alarm/Recovery, 저장·복원 또는 고객 수용시험 증빙이 부족</x:v>
      </x:c>
    </x:row>
    <x:row r="342" ht="42" customHeight="1">
      <x:c r="A342" s="83" t="str">
        <x:v>IC-007</x:v>
      </x:c>
      <x:c r="B342" s="83" t="str">
        <x:v>검사 데이터 모니터링</x:v>
      </x:c>
      <x:c r="C342" s="83" t="n">
        <x:v>89</x:v>
      </x:c>
      <x:c r="D342" s="83" t="str">
        <x:v>기능</x:v>
      </x:c>
      <x:c r="E342" s="83" t="str">
        <x:v>Review - 측정 명령 구현</x:v>
      </x:c>
      <x:c r="F342" s="83" t="str">
        <x:v>07-06</x:v>
      </x:c>
      <x:c r="G342" s="83" t="str">
        <x:v>Review Offset 누적·방향</x:v>
      </x:c>
      <x:c r="H342" s="83" t="str">
        <x:v>E-REVIEW</x:v>
      </x:c>
      <x:c r="I342" s="83" t="str">
        <x:v>Drilling.Common/Review/CReviewManager.cs</x:v>
      </x:c>
      <x:c r="J342" s="83" t="str">
        <x:v>CReviewManager</x:v>
      </x:c>
      <x:c r="K342" s="83" t="str">
        <x:v>CreatePlan</x:v>
      </x:c>
      <x:c r="L342" s="83" t="str">
        <x:v>부분 반영</x:v>
      </x:c>
      <x:c r="M342" s="84" t="n">
        <x:v>0.79</x:v>
      </x:c>
      <x:c r="N342" s="83" t="str">
        <x:v>일부 구현은 확인되나 실장비 연동, Timeout/Alarm/Recovery, 저장·복원 또는 고객 수용시험 증빙이 부족</x:v>
      </x:c>
    </x:row>
    <x:row r="343" ht="42" customHeight="1">
      <x:c r="A343" s="83" t="str">
        <x:v>IC-007</x:v>
      </x:c>
      <x:c r="B343" s="83" t="str">
        <x:v>검사 데이터 모니터링</x:v>
      </x:c>
      <x:c r="C343" s="83" t="n">
        <x:v>90</x:v>
      </x:c>
      <x:c r="D343" s="83" t="str">
        <x:v>기능</x:v>
      </x:c>
      <x:c r="E343" s="83" t="str">
        <x:v>Review - 좌표 처리 구현</x:v>
      </x:c>
      <x:c r="F343" s="83" t="str">
        <x:v>07-06</x:v>
      </x:c>
      <x:c r="G343" s="83" t="str">
        <x:v>Review Offset 누적·방향</x:v>
      </x:c>
      <x:c r="H343" s="83" t="str">
        <x:v>E-REVIEW</x:v>
      </x:c>
      <x:c r="I343" s="83" t="str">
        <x:v>Drilling.Common/Review/CReviewManager.cs</x:v>
      </x:c>
      <x:c r="J343" s="83" t="str">
        <x:v>CReviewManager</x:v>
      </x:c>
      <x:c r="K343" s="83" t="str">
        <x:v>CreatePlan</x:v>
      </x:c>
      <x:c r="L343" s="83" t="str">
        <x:v>부분 반영</x:v>
      </x:c>
      <x:c r="M343" s="84" t="n">
        <x:v>0.79</x:v>
      </x:c>
      <x:c r="N343" s="83" t="str">
        <x:v>일부 구현은 확인되나 실장비 연동, Timeout/Alarm/Recovery, 저장·복원 또는 고객 수용시험 증빙이 부족</x:v>
      </x:c>
    </x:row>
    <x:row r="344" ht="42" customHeight="1">
      <x:c r="A344" s="83" t="str">
        <x:v>IC-007</x:v>
      </x:c>
      <x:c r="B344" s="83" t="str">
        <x:v>검사 데이터 모니터링</x:v>
      </x:c>
      <x:c r="C344" s="83" t="n">
        <x:v>91</x:v>
      </x:c>
      <x:c r="D344" s="83" t="str">
        <x:v>기능</x:v>
      </x:c>
      <x:c r="E344" s="83" t="str">
        <x:v>Review - Offset 결과 수신 및 저장 구현</x:v>
      </x:c>
      <x:c r="F344" s="83" t="str">
        <x:v>07-06</x:v>
      </x:c>
      <x:c r="G344" s="83" t="str">
        <x:v>Review Offset 누적·방향</x:v>
      </x:c>
      <x:c r="H344" s="83" t="str">
        <x:v>E-REVIEW</x:v>
      </x:c>
      <x:c r="I344" s="83" t="str">
        <x:v>Drilling.Common/Review/CReviewManager.cs</x:v>
      </x:c>
      <x:c r="J344" s="83" t="str">
        <x:v>CReviewManager</x:v>
      </x:c>
      <x:c r="K344" s="83" t="str">
        <x:v>CreatePlan</x:v>
      </x:c>
      <x:c r="L344" s="83" t="str">
        <x:v>부분 반영</x:v>
      </x:c>
      <x:c r="M344" s="84" t="n">
        <x:v>0.79</x:v>
      </x:c>
      <x:c r="N344" s="83" t="str">
        <x:v>일부 구현은 확인되나 실장비 연동, Timeout/Alarm/Recovery, 저장·복원 또는 고객 수용시험 증빙이 부족</x:v>
      </x:c>
    </x:row>
    <x:row r="345" ht="42" customHeight="1">
      <x:c r="A345" s="83" t="str">
        <x:v>IC-008</x:v>
      </x:c>
      <x:c r="B345" s="83" t="str">
        <x:v>Tolerance 관리</x:v>
      </x:c>
      <x:c r="C345" s="83" t="n">
        <x:v>55</x:v>
      </x:c>
      <x:c r="D345" s="83" t="str">
        <x:v>Sequence</x:v>
      </x:c>
      <x:c r="E345" s="83" t="str">
        <x:v>Review Step 구현</x:v>
      </x:c>
      <x:c r="F345" s="83" t="str">
        <x:v>07-06</x:v>
      </x:c>
      <x:c r="G345" s="83" t="str">
        <x:v>Review Offset 누적·방향</x:v>
      </x:c>
      <x:c r="H345" s="83" t="str">
        <x:v>E-SEQUENCE</x:v>
      </x:c>
      <x:c r="I345" s="83" t="str">
        <x:v>Drilling.Common/Station/CStationProcess.cs</x:v>
      </x:c>
      <x:c r="J345" s="83" t="str">
        <x:v>CStationProcess</x:v>
      </x:c>
      <x:c r="K345" s="83" t="str">
        <x:v>RunPreCheck</x:v>
      </x:c>
      <x:c r="L345" s="83" t="str">
        <x:v>부분 반영</x:v>
      </x:c>
      <x:c r="M345" s="84" t="n">
        <x:v>0.83</x:v>
      </x:c>
      <x:c r="N345" s="83" t="str">
        <x:v>일부 구현은 확인되나 실장비 연동, Timeout/Alarm/Recovery, 저장·복원 또는 고객 수용시험 증빙이 부족</x:v>
      </x:c>
    </x:row>
    <x:row r="346" ht="42" customHeight="1">
      <x:c r="A346" s="83" t="str">
        <x:v>IC-008</x:v>
      </x:c>
      <x:c r="B346" s="83" t="str">
        <x:v>Tolerance 관리</x:v>
      </x:c>
      <x:c r="C346" s="83" t="n">
        <x:v>94</x:v>
      </x:c>
      <x:c r="D346" s="83" t="str">
        <x:v>기능</x:v>
      </x:c>
      <x:c r="E346" s="83" t="str">
        <x:v>Recipe Parameter - 목록 확정</x:v>
      </x:c>
      <x:c r="F346" s="83" t="str">
        <x:v>07-06</x:v>
      </x:c>
      <x:c r="G346" s="83" t="str">
        <x:v>Review Offset 누적·방향</x:v>
      </x:c>
      <x:c r="H346" s="83" t="str">
        <x:v>E-RECIPE-FILE</x:v>
      </x:c>
      <x:c r="I346" s="83" t="str">
        <x:v>Drilling.File/JHMI/CJhmiRecipeFile.cs</x:v>
      </x:c>
      <x:c r="J346" s="83" t="str">
        <x:v>CJhmiRecipeFile</x:v>
      </x:c>
      <x:c r="K346" s="83" t="str">
        <x:v>Save</x:v>
      </x:c>
      <x:c r="L346" s="83" t="str">
        <x:v>부분 반영</x:v>
      </x:c>
      <x:c r="M346" s="84" t="n">
        <x:v>0.83</x:v>
      </x:c>
      <x:c r="N346" s="83" t="str">
        <x:v>일부 구현은 확인되나 실장비 연동, Timeout/Alarm/Recovery, 저장·복원 또는 고객 수용시험 증빙이 부족</x:v>
      </x:c>
    </x:row>
    <x:row r="347" ht="42" customHeight="1">
      <x:c r="A347" s="83" t="str">
        <x:v>IC-009</x:v>
      </x:c>
      <x:c r="B347" s="83" t="str">
        <x:v>리모트 검사 업데이트</x:v>
      </x:c>
      <x:c r="C347" s="83" t="n">
        <x:v>55</x:v>
      </x:c>
      <x:c r="D347" s="83" t="str">
        <x:v>Sequence</x:v>
      </x:c>
      <x:c r="E347" s="83" t="str">
        <x:v>Review Step 구현</x:v>
      </x:c>
      <x:c r="F347" s="83" t="str">
        <x:v>07-06</x:v>
      </x:c>
      <x:c r="G347" s="83" t="str">
        <x:v>Review Offset 누적·방향</x:v>
      </x:c>
      <x:c r="H347" s="83" t="str">
        <x:v>E-SEQUENCE</x:v>
      </x:c>
      <x:c r="I347" s="83" t="str">
        <x:v>Drilling.Common/Station/CStationProcess.cs</x:v>
      </x:c>
      <x:c r="J347" s="83" t="str">
        <x:v>CStationProcess</x:v>
      </x:c>
      <x:c r="K347" s="83" t="str">
        <x:v>RunPreCheck</x:v>
      </x:c>
      <x:c r="L347" s="83" t="str">
        <x:v>부분 반영</x:v>
      </x:c>
      <x:c r="M347" s="84" t="n">
        <x:v>0.79</x:v>
      </x:c>
      <x:c r="N347" s="83" t="str">
        <x:v>일부 구현은 확인되나 실장비 연동, Timeout/Alarm/Recovery, 저장·복원 또는 고객 수용시험 증빙이 부족</x:v>
      </x:c>
    </x:row>
    <x:row r="348" ht="42" customHeight="1">
      <x:c r="A348" s="83" t="str">
        <x:v>IC-009</x:v>
      </x:c>
      <x:c r="B348" s="83" t="str">
        <x:v>리모트 검사 업데이트</x:v>
      </x:c>
      <x:c r="C348" s="83" t="n">
        <x:v>89</x:v>
      </x:c>
      <x:c r="D348" s="83" t="str">
        <x:v>기능</x:v>
      </x:c>
      <x:c r="E348" s="83" t="str">
        <x:v>Review - 측정 명령 구현</x:v>
      </x:c>
      <x:c r="F348" s="83" t="str">
        <x:v>07-06</x:v>
      </x:c>
      <x:c r="G348" s="83" t="str">
        <x:v>Review Offset 누적·방향</x:v>
      </x:c>
      <x:c r="H348" s="83" t="str">
        <x:v>E-REVIEW</x:v>
      </x:c>
      <x:c r="I348" s="83" t="str">
        <x:v>Drilling.Common/Review/CReviewManager.cs</x:v>
      </x:c>
      <x:c r="J348" s="83" t="str">
        <x:v>CReviewManager</x:v>
      </x:c>
      <x:c r="K348" s="83" t="str">
        <x:v>CreatePlan</x:v>
      </x:c>
      <x:c r="L348" s="83" t="str">
        <x:v>부분 반영</x:v>
      </x:c>
      <x:c r="M348" s="84" t="n">
        <x:v>0.79</x:v>
      </x:c>
      <x:c r="N348" s="83" t="str">
        <x:v>일부 구현은 확인되나 실장비 연동, Timeout/Alarm/Recovery, 저장·복원 또는 고객 수용시험 증빙이 부족</x:v>
      </x:c>
    </x:row>
    <x:row r="349" ht="42" customHeight="1">
      <x:c r="A349" s="83" t="str">
        <x:v>IC-009</x:v>
      </x:c>
      <x:c r="B349" s="83" t="str">
        <x:v>리모트 검사 업데이트</x:v>
      </x:c>
      <x:c r="C349" s="83" t="n">
        <x:v>90</x:v>
      </x:c>
      <x:c r="D349" s="83" t="str">
        <x:v>기능</x:v>
      </x:c>
      <x:c r="E349" s="83" t="str">
        <x:v>Review - 좌표 처리 구현</x:v>
      </x:c>
      <x:c r="F349" s="83" t="str">
        <x:v>07-06</x:v>
      </x:c>
      <x:c r="G349" s="83" t="str">
        <x:v>Review Offset 누적·방향</x:v>
      </x:c>
      <x:c r="H349" s="83" t="str">
        <x:v>E-REVIEW</x:v>
      </x:c>
      <x:c r="I349" s="83" t="str">
        <x:v>Drilling.Common/Review/CReviewManager.cs</x:v>
      </x:c>
      <x:c r="J349" s="83" t="str">
        <x:v>CReviewManager</x:v>
      </x:c>
      <x:c r="K349" s="83" t="str">
        <x:v>CreatePlan</x:v>
      </x:c>
      <x:c r="L349" s="83" t="str">
        <x:v>부분 반영</x:v>
      </x:c>
      <x:c r="M349" s="84" t="n">
        <x:v>0.79</x:v>
      </x:c>
      <x:c r="N349" s="83" t="str">
        <x:v>일부 구현은 확인되나 실장비 연동, Timeout/Alarm/Recovery, 저장·복원 또는 고객 수용시험 증빙이 부족</x:v>
      </x:c>
    </x:row>
    <x:row r="350" ht="42" customHeight="1">
      <x:c r="A350" s="83" t="str">
        <x:v>IC-009</x:v>
      </x:c>
      <x:c r="B350" s="83" t="str">
        <x:v>리모트 검사 업데이트</x:v>
      </x:c>
      <x:c r="C350" s="83" t="n">
        <x:v>91</x:v>
      </x:c>
      <x:c r="D350" s="83" t="str">
        <x:v>기능</x:v>
      </x:c>
      <x:c r="E350" s="83" t="str">
        <x:v>Review - Offset 결과 수신 및 저장 구현</x:v>
      </x:c>
      <x:c r="F350" s="83" t="str">
        <x:v>07-06</x:v>
      </x:c>
      <x:c r="G350" s="83" t="str">
        <x:v>Review Offset 누적·방향</x:v>
      </x:c>
      <x:c r="H350" s="83" t="str">
        <x:v>E-REVIEW</x:v>
      </x:c>
      <x:c r="I350" s="83" t="str">
        <x:v>Drilling.Common/Review/CReviewManager.cs</x:v>
      </x:c>
      <x:c r="J350" s="83" t="str">
        <x:v>CReviewManager</x:v>
      </x:c>
      <x:c r="K350" s="83" t="str">
        <x:v>CreatePlan</x:v>
      </x:c>
      <x:c r="L350" s="83" t="str">
        <x:v>부분 반영</x:v>
      </x:c>
      <x:c r="M350" s="84" t="n">
        <x:v>0.79</x:v>
      </x:c>
      <x:c r="N350" s="83" t="str">
        <x:v>일부 구현은 확인되나 실장비 연동, Timeout/Alarm/Recovery, 저장·복원 또는 고객 수용시험 증빙이 부족</x:v>
      </x:c>
    </x:row>
    <x:row r="351" ht="42" customHeight="1">
      <x:c r="A351" s="83" t="str">
        <x:v>IC-010</x:v>
      </x:c>
      <x:c r="B351" s="83" t="str">
        <x:v>통계 요약 리포트</x:v>
      </x:c>
      <x:c r="C351" s="83" t="n">
        <x:v>68</x:v>
      </x:c>
      <x:c r="D351" s="83" t="str">
        <x:v>Alarm</x:v>
      </x:c>
      <x:c r="E351" s="83" t="str">
        <x:v>Alarm Trend/History 구현</x:v>
      </x:c>
      <x:c r="F351" s="83" t="str">
        <x:v>07-06</x:v>
      </x:c>
      <x:c r="G351" s="83" t="str">
        <x:v>Review Offset 누적·방향</x:v>
      </x:c>
      <x:c r="H351" s="83" t="str">
        <x:v>E-ALARM</x:v>
      </x:c>
      <x:c r="I351" s="83" t="str">
        <x:v>Drilling.Common/Alarm/CAlarmManager.cs</x:v>
      </x:c>
      <x:c r="J351" s="83" t="str">
        <x:v>CAlarmManager</x:v>
      </x:c>
      <x:c r="K351" s="83" t="str">
        <x:v>Evaluate</x:v>
      </x:c>
      <x:c r="L351" s="83" t="str">
        <x:v>부분 반영</x:v>
      </x:c>
      <x:c r="M351" s="84" t="n">
        <x:v>0.79</x:v>
      </x:c>
      <x:c r="N351" s="83" t="str">
        <x:v>일부 구현은 확인되나 실장비 연동, Timeout/Alarm/Recovery, 저장·복원 또는 고객 수용시험 증빙이 부족</x:v>
      </x:c>
    </x:row>
    <x:row r="352" ht="42" customHeight="1">
      <x:c r="A352" s="83" t="str">
        <x:v>IC-010</x:v>
      </x:c>
      <x:c r="B352" s="83" t="str">
        <x:v>통계 요약 리포트</x:v>
      </x:c>
      <x:c r="C352" s="83" t="n">
        <x:v>70</x:v>
      </x:c>
      <x:c r="D352" s="83" t="str">
        <x:v>Log</x:v>
      </x:c>
      <x:c r="E352" s="83" t="str">
        <x:v>Product History Log 구현</x:v>
      </x:c>
      <x:c r="F352" s="83" t="str">
        <x:v>07-06</x:v>
      </x:c>
      <x:c r="G352" s="83" t="str">
        <x:v>Review Offset 누적·방향</x:v>
      </x:c>
      <x:c r="H352" s="83" t="str">
        <x:v>E-LOG</x:v>
      </x:c>
      <x:c r="I352" s="83" t="str">
        <x:v>Drilling.Common/Log/CLogManager.cs</x:v>
      </x:c>
      <x:c r="J352" s="83" t="str">
        <x:v>CLogManager</x:v>
      </x:c>
      <x:c r="K352" s="83" t="str">
        <x:v>WriteInterfaceCommand</x:v>
      </x:c>
      <x:c r="L352" s="83" t="str">
        <x:v>부분 반영</x:v>
      </x:c>
      <x:c r="M352" s="84" t="n">
        <x:v>0.79</x:v>
      </x:c>
      <x:c r="N352" s="83" t="str">
        <x:v>일부 구현은 확인되나 실장비 연동, Timeout/Alarm/Recovery, 저장·복원 또는 고객 수용시험 증빙이 부족</x:v>
      </x:c>
    </x:row>
    <x:row r="353" ht="42" customHeight="1">
      <x:c r="A353" s="83" t="str">
        <x:v>IC-010</x:v>
      </x:c>
      <x:c r="B353" s="83" t="str">
        <x:v>통계 요약 리포트</x:v>
      </x:c>
      <x:c r="C353" s="83" t="n">
        <x:v>90</x:v>
      </x:c>
      <x:c r="D353" s="83" t="str">
        <x:v>기능</x:v>
      </x:c>
      <x:c r="E353" s="83" t="str">
        <x:v>Review - 좌표 처리 구현</x:v>
      </x:c>
      <x:c r="F353" s="83" t="str">
        <x:v>07-06</x:v>
      </x:c>
      <x:c r="G353" s="83" t="str">
        <x:v>Review Offset 누적·방향</x:v>
      </x:c>
      <x:c r="H353" s="83" t="str">
        <x:v>E-REVIEW</x:v>
      </x:c>
      <x:c r="I353" s="83" t="str">
        <x:v>Drilling.Common/Review/CReviewManager.cs</x:v>
      </x:c>
      <x:c r="J353" s="83" t="str">
        <x:v>CReviewManager</x:v>
      </x:c>
      <x:c r="K353" s="83" t="str">
        <x:v>CreatePlan</x:v>
      </x:c>
      <x:c r="L353" s="83" t="str">
        <x:v>부분 반영</x:v>
      </x:c>
      <x:c r="M353" s="84" t="n">
        <x:v>0.79</x:v>
      </x:c>
      <x:c r="N353" s="83" t="str">
        <x:v>일부 구현은 확인되나 실장비 연동, Timeout/Alarm/Recovery, 저장·복원 또는 고객 수용시험 증빙이 부족</x:v>
      </x:c>
    </x:row>
    <x:row r="354" ht="42" customHeight="1">
      <x:c r="A354" s="83" t="str">
        <x:v>IC-011</x:v>
      </x:c>
      <x:c r="B354" s="83" t="str">
        <x:v>MOF 매뉴얼 가공</x:v>
      </x:c>
      <x:c r="C354" s="83" t="n">
        <x:v>6</x:v>
      </x:c>
      <x:c r="D354" s="83" t="str">
        <x:v>UI</x:v>
      </x:c>
      <x:c r="E354" s="83" t="str">
        <x:v>Manual 화면 - Stage 화면 구현</x:v>
      </x:c>
      <x:c r="F354" s="83" t="str">
        <x:v>06-04</x:v>
      </x:c>
      <x:c r="G354" s="83" t="str">
        <x:v>Manual IOF·P-to-P 검사</x:v>
      </x:c>
      <x:c r="H354" s="83" t="str">
        <x:v>E-UI-MANUAL</x:v>
      </x:c>
      <x:c r="I354" s="83" t="str">
        <x:v>Drilling.UI/Menu/Menus/CMenuManual.cs</x:v>
      </x:c>
      <x:c r="J354" s="83" t="str">
        <x:v>CMenuManual</x:v>
      </x:c>
      <x:c r="K354" s="83" t="str">
        <x:v>ExecuteManualOperation</x:v>
      </x:c>
      <x:c r="L354" s="83" t="str">
        <x:v>부분 반영</x:v>
      </x:c>
      <x:c r="M354" s="84" t="n">
        <x:v>0.73</x:v>
      </x:c>
      <x:c r="N354" s="83" t="str">
        <x:v>일부 구현은 확인되나 실장비 연동, Timeout/Alarm/Recovery, 저장·복원 또는 고객 수용시험 증빙이 부족</x:v>
      </x:c>
    </x:row>
    <x:row r="355" ht="42" customHeight="1">
      <x:c r="A355" s="83" t="str">
        <x:v>IC-011</x:v>
      </x:c>
      <x:c r="B355" s="83" t="str">
        <x:v>MOF 매뉴얼 가공</x:v>
      </x:c>
      <x:c r="C355" s="83" t="n">
        <x:v>7</x:v>
      </x:c>
      <x:c r="D355" s="83" t="str">
        <x:v>UI</x:v>
      </x:c>
      <x:c r="E355" s="83" t="str">
        <x:v>Manual 화면 - Vision 화면 구현</x:v>
      </x:c>
      <x:c r="F355" s="83" t="str">
        <x:v>06-04</x:v>
      </x:c>
      <x:c r="G355" s="83" t="str">
        <x:v>Manual IOF·P-to-P 검사</x:v>
      </x:c>
      <x:c r="H355" s="83" t="str">
        <x:v>E-UI-MANUAL</x:v>
      </x:c>
      <x:c r="I355" s="83" t="str">
        <x:v>Drilling.UI/Menu/Menus/CMenuManual.cs</x:v>
      </x:c>
      <x:c r="J355" s="83" t="str">
        <x:v>CMenuManual</x:v>
      </x:c>
      <x:c r="K355" s="83" t="str">
        <x:v>ExecuteManualOperation</x:v>
      </x:c>
      <x:c r="L355" s="83" t="str">
        <x:v>부분 반영</x:v>
      </x:c>
      <x:c r="M355" s="84" t="n">
        <x:v>0.73</x:v>
      </x:c>
      <x:c r="N355" s="83" t="str">
        <x:v>일부 구현은 확인되나 실장비 연동, Timeout/Alarm/Recovery, 저장·복원 또는 고객 수용시험 증빙이 부족</x:v>
      </x:c>
    </x:row>
    <x:row r="356" ht="42" customHeight="1">
      <x:c r="A356" s="83" t="str">
        <x:v>IC-011</x:v>
      </x:c>
      <x:c r="B356" s="83" t="str">
        <x:v>MOF 매뉴얼 가공</x:v>
      </x:c>
      <x:c r="C356" s="83" t="n">
        <x:v>25</x:v>
      </x:c>
      <x:c r="D356" s="83" t="str">
        <x:v>통신</x:v>
      </x:c>
      <x:c r="E356" s="83" t="str">
        <x:v>XPS Motion Controller 연동 기능 구현</x:v>
      </x:c>
      <x:c r="F356" s="83" t="str">
        <x:v>06-04</x:v>
      </x:c>
      <x:c r="G356" s="83" t="str">
        <x:v>Manual IOF·P-to-P 검사</x:v>
      </x:c>
      <x:c r="H356" s="83" t="str">
        <x:v>E-XPS</x:v>
      </x:c>
      <x:c r="I356" s="83" t="str">
        <x:v>Drilling.Common/Motion/XPS/CXpsMotion.cs</x:v>
      </x:c>
      <x:c r="J356" s="83" t="str">
        <x:v>CXpsMotion</x:v>
      </x:c>
      <x:c r="K356" s="83" t="str">
        <x:v>MoveAbs</x:v>
      </x:c>
      <x:c r="L356" s="83" t="str">
        <x:v>부분 반영</x:v>
      </x:c>
      <x:c r="M356" s="84" t="n">
        <x:v>0.73</x:v>
      </x:c>
      <x:c r="N356" s="83" t="str">
        <x:v>일부 구현은 확인되나 실장비 연동, Timeout/Alarm/Recovery, 저장·복원 또는 고객 수용시험 증빙이 부족</x:v>
      </x:c>
    </x:row>
    <x:row r="357" ht="42" customHeight="1">
      <x:c r="A357" s="83" t="str">
        <x:v>IC-011</x:v>
      </x:c>
      <x:c r="B357" s="83" t="str">
        <x:v>MOF 매뉴얼 가공</x:v>
      </x:c>
      <x:c r="C357" s="83" t="n">
        <x:v>83</x:v>
      </x:c>
      <x:c r="D357" s="83" t="str">
        <x:v>기능</x:v>
      </x:c>
      <x:c r="E357" s="83" t="str">
        <x:v>Manual 화면 내 Stage 관련 기능 구현</x:v>
      </x:c>
      <x:c r="F357" s="83" t="str">
        <x:v>06-04</x:v>
      </x:c>
      <x:c r="G357" s="83" t="str">
        <x:v>Manual IOF·P-to-P 검사</x:v>
      </x:c>
      <x:c r="H357" s="83" t="str">
        <x:v>E-UI-MANUAL</x:v>
      </x:c>
      <x:c r="I357" s="83" t="str">
        <x:v>Drilling.UI/Menu/Menus/CMenuManual.cs</x:v>
      </x:c>
      <x:c r="J357" s="83" t="str">
        <x:v>CMenuManual</x:v>
      </x:c>
      <x:c r="K357" s="83" t="str">
        <x:v>ExecuteManualOperation</x:v>
      </x:c>
      <x:c r="L357" s="83" t="str">
        <x:v>부분 반영</x:v>
      </x:c>
      <x:c r="M357" s="84" t="n">
        <x:v>0.73</x:v>
      </x:c>
      <x:c r="N357" s="83" t="str">
        <x:v>일부 구현은 확인되나 실장비 연동, Timeout/Alarm/Recovery, 저장·복원 또는 고객 수용시험 증빙이 부족</x:v>
      </x:c>
    </x:row>
    <x:row r="358" ht="42" customHeight="1">
      <x:c r="A358" s="83" t="str">
        <x:v>IC-011</x:v>
      </x:c>
      <x:c r="B358" s="83" t="str">
        <x:v>MOF 매뉴얼 가공</x:v>
      </x:c>
      <x:c r="C358" s="83" t="n">
        <x:v>84</x:v>
      </x:c>
      <x:c r="D358" s="83" t="str">
        <x:v>기능</x:v>
      </x:c>
      <x:c r="E358" s="83" t="str">
        <x:v>Manual 화면 내 Vision 관련 기능 구현</x:v>
      </x:c>
      <x:c r="F358" s="83" t="str">
        <x:v>06-04</x:v>
      </x:c>
      <x:c r="G358" s="83" t="str">
        <x:v>Manual IOF·P-to-P 검사</x:v>
      </x:c>
      <x:c r="H358" s="83" t="str">
        <x:v>E-UI-MANUAL</x:v>
      </x:c>
      <x:c r="I358" s="83" t="str">
        <x:v>Drilling.UI/Menu/Menus/CMenuManual.cs</x:v>
      </x:c>
      <x:c r="J358" s="83" t="str">
        <x:v>CMenuManual</x:v>
      </x:c>
      <x:c r="K358" s="83" t="str">
        <x:v>ExecuteManualOperation</x:v>
      </x:c>
      <x:c r="L358" s="83" t="str">
        <x:v>부분 반영</x:v>
      </x:c>
      <x:c r="M358" s="84" t="n">
        <x:v>0.73</x:v>
      </x:c>
      <x:c r="N358" s="83" t="str">
        <x:v>일부 구현은 확인되나 실장비 연동, Timeout/Alarm/Recovery, 저장·복원 또는 고객 수용시험 증빙이 부족</x:v>
      </x:c>
    </x:row>
    <x:row r="359" ht="42" customHeight="1">
      <x:c r="A359" s="83" t="str">
        <x:v>IC-011</x:v>
      </x:c>
      <x:c r="B359" s="83" t="str">
        <x:v>MOF 매뉴얼 가공</x:v>
      </x:c>
      <x:c r="C359" s="83" t="n">
        <x:v>89</x:v>
      </x:c>
      <x:c r="D359" s="83" t="str">
        <x:v>기능</x:v>
      </x:c>
      <x:c r="E359" s="83" t="str">
        <x:v>Review - 측정 명령 구현</x:v>
      </x:c>
      <x:c r="F359" s="83" t="str">
        <x:v>06-04</x:v>
      </x:c>
      <x:c r="G359" s="83" t="str">
        <x:v>Manual IOF·P-to-P 검사</x:v>
      </x:c>
      <x:c r="H359" s="83" t="str">
        <x:v>E-REVIEW</x:v>
      </x:c>
      <x:c r="I359" s="83" t="str">
        <x:v>Drilling.Common/Review/CReviewManager.cs</x:v>
      </x:c>
      <x:c r="J359" s="83" t="str">
        <x:v>CReviewManager</x:v>
      </x:c>
      <x:c r="K359" s="83" t="str">
        <x:v>CreatePlan</x:v>
      </x:c>
      <x:c r="L359" s="83" t="str">
        <x:v>부분 반영</x:v>
      </x:c>
      <x:c r="M359" s="84" t="n">
        <x:v>0.73</x:v>
      </x:c>
      <x:c r="N359" s="83" t="str">
        <x:v>일부 구현은 확인되나 실장비 연동, Timeout/Alarm/Recovery, 저장·복원 또는 고객 수용시험 증빙이 부족</x:v>
      </x:c>
    </x:row>
    <x:row r="360" ht="42" customHeight="1">
      <x:c r="A360" s="83" t="str">
        <x:v>SS-001</x:v>
      </x:c>
      <x:c r="B360" s="83" t="str">
        <x:v>Laser 세팅 및 모니터링</x:v>
      </x:c>
      <x:c r="C360" s="83" t="n">
        <x:v>14</x:v>
      </x:c>
      <x:c r="D360" s="83" t="str">
        <x:v>UI</x:v>
      </x:c>
      <x:c r="E360" s="83" t="str">
        <x:v>Monitoring - Laser 화면 구현</x:v>
      </x:c>
      <x:c r="F360" s="83" t="str">
        <x:v>09-01</x:v>
      </x:c>
      <x:c r="G360" s="83" t="str">
        <x:v>Laser 출사조건·안전</x:v>
      </x:c>
      <x:c r="H360" s="83" t="str">
        <x:v>E-UI-MONITOR</x:v>
      </x:c>
      <x:c r="I360" s="83" t="str">
        <x:v>Drilling.UI/Menu/Menus/CMenuMonitor.cs</x:v>
      </x:c>
      <x:c r="J360" s="83" t="str">
        <x:v>CMenuMonitor</x:v>
      </x:c>
      <x:c r="K360" s="83" t="str">
        <x:v>RefreshLiveData</x:v>
      </x:c>
      <x:c r="L360" s="83" t="str">
        <x:v>부분 반영</x:v>
      </x:c>
      <x:c r="M360" s="84" t="n">
        <x:v>0.77</x:v>
      </x:c>
      <x:c r="N360" s="83" t="str">
        <x:v>일부 구현은 확인되나 실장비 연동, Timeout/Alarm/Recovery, 저장·복원 또는 고객 수용시험 증빙이 부족</x:v>
      </x:c>
    </x:row>
    <x:row r="361" ht="42" customHeight="1">
      <x:c r="A361" s="83" t="str">
        <x:v>SS-001</x:v>
      </x:c>
      <x:c r="B361" s="83" t="str">
        <x:v>Laser 세팅 및 모니터링</x:v>
      </x:c>
      <x:c r="C361" s="83" t="n">
        <x:v>26</x:v>
      </x:c>
      <x:c r="D361" s="83" t="str">
        <x:v>통신</x:v>
      </x:c>
      <x:c r="E361" s="83" t="str">
        <x:v>Talon Laser 연동 기능 구현</x:v>
      </x:c>
      <x:c r="F361" s="83" t="str">
        <x:v>09-01</x:v>
      </x:c>
      <x:c r="G361" s="83" t="str">
        <x:v>Laser 출사조건·안전</x:v>
      </x:c>
      <x:c r="H361" s="83" t="str">
        <x:v>E-LASER</x:v>
      </x:c>
      <x:c r="I361" s="83" t="str">
        <x:v>Drilling.Common/Interface/Serial/CTalonLaser.cs</x:v>
      </x:c>
      <x:c r="J361" s="83" t="str">
        <x:v>CTalonLaser</x:v>
      </x:c>
      <x:c r="K361" s="83" t="str">
        <x:v>Execute</x:v>
      </x:c>
      <x:c r="L361" s="83" t="str">
        <x:v>부분 반영</x:v>
      </x:c>
      <x:c r="M361" s="84" t="n">
        <x:v>0.77</x:v>
      </x:c>
      <x:c r="N361" s="83" t="str">
        <x:v>일부 구현은 확인되나 실장비 연동, Timeout/Alarm/Recovery, 저장·복원 또는 고객 수용시험 증빙이 부족</x:v>
      </x:c>
    </x:row>
    <x:row r="362" ht="42" customHeight="1">
      <x:c r="A362" s="83" t="str">
        <x:v>SS-001</x:v>
      </x:c>
      <x:c r="B362" s="83" t="str">
        <x:v>Laser 세팅 및 모니터링</x:v>
      </x:c>
      <x:c r="C362" s="83" t="n">
        <x:v>104</x:v>
      </x:c>
      <x:c r="D362" s="83" t="str">
        <x:v>기능</x:v>
      </x:c>
      <x:c r="E362" s="83" t="str">
        <x:v>Monitoring - Laser 단위 동작 구현</x:v>
      </x:c>
      <x:c r="F362" s="83" t="str">
        <x:v>09-01</x:v>
      </x:c>
      <x:c r="G362" s="83" t="str">
        <x:v>Laser 출사조건·안전</x:v>
      </x:c>
      <x:c r="H362" s="83" t="str">
        <x:v>E-LASER</x:v>
      </x:c>
      <x:c r="I362" s="83" t="str">
        <x:v>Drilling.Common/Interface/Serial/CTalonLaser.cs</x:v>
      </x:c>
      <x:c r="J362" s="83" t="str">
        <x:v>CTalonLaser</x:v>
      </x:c>
      <x:c r="K362" s="83" t="str">
        <x:v>Execute</x:v>
      </x:c>
      <x:c r="L362" s="83" t="str">
        <x:v>부분 반영</x:v>
      </x:c>
      <x:c r="M362" s="84" t="n">
        <x:v>0.77</x:v>
      </x:c>
      <x:c r="N362" s="83" t="str">
        <x:v>일부 구현은 확인되나 실장비 연동, Timeout/Alarm/Recovery, 저장·복원 또는 고객 수용시험 증빙이 부족</x:v>
      </x:c>
    </x:row>
    <x:row r="363" ht="42" customHeight="1">
      <x:c r="A363" s="83" t="str">
        <x:v>SS-002</x:v>
      </x:c>
      <x:c r="B363" s="83" t="str">
        <x:v>Optic 세팅 및 모니터링</x:v>
      </x:c>
      <x:c r="C363" s="83" t="n">
        <x:v>17</x:v>
      </x:c>
      <x:c r="D363" s="83" t="str">
        <x:v>UI</x:v>
      </x:c>
      <x:c r="E363" s="83" t="str">
        <x:v>Monitoring - BET 화면 구현</x:v>
      </x:c>
      <x:c r="F363" s="83" t="str">
        <x:v>09-02</x:v>
      </x:c>
      <x:c r="G363" s="83" t="str">
        <x:v>Optics 동작·Recipe 연계</x:v>
      </x:c>
      <x:c r="H363" s="83" t="str">
        <x:v>E-UI-MONITOR</x:v>
      </x:c>
      <x:c r="I363" s="83" t="str">
        <x:v>Drilling.UI/Menu/Menus/CMenuMonitor.cs</x:v>
      </x:c>
      <x:c r="J363" s="83" t="str">
        <x:v>CMenuMonitor</x:v>
      </x:c>
      <x:c r="K363" s="83" t="str">
        <x:v>RefreshLiveData</x:v>
      </x:c>
      <x:c r="L363" s="83" t="str">
        <x:v>부분 반영</x:v>
      </x:c>
      <x:c r="M363" s="84" t="n">
        <x:v>0.73</x:v>
      </x:c>
      <x:c r="N363" s="83" t="str">
        <x:v>일부 구현은 확인되나 실장비 연동, Timeout/Alarm/Recovery, 저장·복원 또는 고객 수용시험 증빙이 부족</x:v>
      </x:c>
    </x:row>
    <x:row r="364" ht="42" customHeight="1">
      <x:c r="A364" s="83" t="str">
        <x:v>SS-002</x:v>
      </x:c>
      <x:c r="B364" s="83" t="str">
        <x:v>Optic 세팅 및 모니터링</x:v>
      </x:c>
      <x:c r="C364" s="83" t="n">
        <x:v>20</x:v>
      </x:c>
      <x:c r="D364" s="83" t="str">
        <x:v>UI</x:v>
      </x:c>
      <x:c r="E364" s="83" t="str">
        <x:v>Monitoring - Attenuator 화면 구현</x:v>
      </x:c>
      <x:c r="F364" s="83" t="str">
        <x:v>09-02</x:v>
      </x:c>
      <x:c r="G364" s="83" t="str">
        <x:v>Optics 동작·Recipe 연계</x:v>
      </x:c>
      <x:c r="H364" s="83" t="str">
        <x:v>E-UI-MONITOR</x:v>
      </x:c>
      <x:c r="I364" s="83" t="str">
        <x:v>Drilling.UI/Menu/Menus/CMenuMonitor.cs</x:v>
      </x:c>
      <x:c r="J364" s="83" t="str">
        <x:v>CMenuMonitor</x:v>
      </x:c>
      <x:c r="K364" s="83" t="str">
        <x:v>RefreshLiveData</x:v>
      </x:c>
      <x:c r="L364" s="83" t="str">
        <x:v>부분 반영</x:v>
      </x:c>
      <x:c r="M364" s="84" t="n">
        <x:v>0.73</x:v>
      </x:c>
      <x:c r="N364" s="83" t="str">
        <x:v>일부 구현은 확인되나 실장비 연동, Timeout/Alarm/Recovery, 저장·복원 또는 고객 수용시험 증빙이 부족</x:v>
      </x:c>
    </x:row>
    <x:row r="365" ht="42" customHeight="1">
      <x:c r="A365" s="83" t="str">
        <x:v>SS-002</x:v>
      </x:c>
      <x:c r="B365" s="83" t="str">
        <x:v>Optic 세팅 및 모니터링</x:v>
      </x:c>
      <x:c r="C365" s="83" t="n">
        <x:v>25</x:v>
      </x:c>
      <x:c r="D365" s="83" t="str">
        <x:v>통신</x:v>
      </x:c>
      <x:c r="E365" s="83" t="str">
        <x:v>XPS Motion Controller 연동 기능 구현</x:v>
      </x:c>
      <x:c r="F365" s="83" t="str">
        <x:v>09-02</x:v>
      </x:c>
      <x:c r="G365" s="83" t="str">
        <x:v>Optics 동작·Recipe 연계</x:v>
      </x:c>
      <x:c r="H365" s="83" t="str">
        <x:v>E-XPS</x:v>
      </x:c>
      <x:c r="I365" s="83" t="str">
        <x:v>Drilling.Common/Motion/XPS/CXpsMotion.cs</x:v>
      </x:c>
      <x:c r="J365" s="83" t="str">
        <x:v>CXpsMotion</x:v>
      </x:c>
      <x:c r="K365" s="83" t="str">
        <x:v>MoveAbs</x:v>
      </x:c>
      <x:c r="L365" s="83" t="str">
        <x:v>부분 반영</x:v>
      </x:c>
      <x:c r="M365" s="84" t="n">
        <x:v>0.73</x:v>
      </x:c>
      <x:c r="N365" s="83" t="str">
        <x:v>일부 구현은 확인되나 실장비 연동, Timeout/Alarm/Recovery, 저장·복원 또는 고객 수용시험 증빙이 부족</x:v>
      </x:c>
    </x:row>
    <x:row r="366" ht="42" customHeight="1">
      <x:c r="A366" s="83" t="str">
        <x:v>SS-002</x:v>
      </x:c>
      <x:c r="B366" s="83" t="str">
        <x:v>Optic 세팅 및 모니터링</x:v>
      </x:c>
      <x:c r="C366" s="83" t="n">
        <x:v>29</x:v>
      </x:c>
      <x:c r="D366" s="83" t="str">
        <x:v>통신</x:v>
      </x:c>
      <x:c r="E366" s="83" t="str">
        <x:v>BET 연동 기능 구현</x:v>
      </x:c>
      <x:c r="F366" s="83" t="str">
        <x:v>09-02</x:v>
      </x:c>
      <x:c r="G366" s="83" t="str">
        <x:v>Optics 동작·Recipe 연계</x:v>
      </x:c>
      <x:c r="H366" s="83" t="str">
        <x:v>E-BET</x:v>
      </x:c>
      <x:c r="I366" s="83" t="str">
        <x:v>Drilling.Common/Interface/Serial/CBeamExpander.cs</x:v>
      </x:c>
      <x:c r="J366" s="83" t="str">
        <x:v>CBeamExpander</x:v>
      </x:c>
      <x:c r="K366" s="83" t="str">
        <x:v>Execute</x:v>
      </x:c>
      <x:c r="L366" s="83" t="str">
        <x:v>부분 반영</x:v>
      </x:c>
      <x:c r="M366" s="84" t="n">
        <x:v>0.73</x:v>
      </x:c>
      <x:c r="N366" s="83" t="str">
        <x:v>일부 구현은 확인되나 실장비 연동, Timeout/Alarm/Recovery, 저장·복원 또는 고객 수용시험 증빙이 부족</x:v>
      </x:c>
    </x:row>
    <x:row r="367" ht="42" customHeight="1">
      <x:c r="A367" s="83" t="str">
        <x:v>SS-002</x:v>
      </x:c>
      <x:c r="B367" s="83" t="str">
        <x:v>Optic 세팅 및 모니터링</x:v>
      </x:c>
      <x:c r="C367" s="83" t="n">
        <x:v>30</x:v>
      </x:c>
      <x:c r="D367" s="83" t="str">
        <x:v>통신</x:v>
      </x:c>
      <x:c r="E367" s="83" t="str">
        <x:v>CONDEX-APG(Attenuator) 연동 기능 구현</x:v>
      </x:c>
      <x:c r="F367" s="83" t="str">
        <x:v>09-02</x:v>
      </x:c>
      <x:c r="G367" s="83" t="str">
        <x:v>Optics 동작·Recipe 연계</x:v>
      </x:c>
      <x:c r="H367" s="83" t="str">
        <x:v>E-ATT</x:v>
      </x:c>
      <x:c r="I367" s="83" t="str">
        <x:v>Drilling.Common/Interface/Serial/CConex_AGP.cs</x:v>
      </x:c>
      <x:c r="J367" s="83" t="str">
        <x:v>CConex_AGP</x:v>
      </x:c>
      <x:c r="K367" s="83" t="str">
        <x:v>Execute</x:v>
      </x:c>
      <x:c r="L367" s="83" t="str">
        <x:v>부분 반영</x:v>
      </x:c>
      <x:c r="M367" s="84" t="n">
        <x:v>0.73</x:v>
      </x:c>
      <x:c r="N367" s="83" t="str">
        <x:v>일부 구현은 확인되나 실장비 연동, Timeout/Alarm/Recovery, 저장·복원 또는 고객 수용시험 증빙이 부족</x:v>
      </x:c>
    </x:row>
    <x:row r="368" ht="42" customHeight="1">
      <x:c r="A368" s="83" t="str">
        <x:v>SS-002</x:v>
      </x:c>
      <x:c r="B368" s="83" t="str">
        <x:v>Optic 세팅 및 모니터링</x:v>
      </x:c>
      <x:c r="C368" s="83" t="n">
        <x:v>102</x:v>
      </x:c>
      <x:c r="D368" s="83" t="str">
        <x:v>기능</x:v>
      </x:c>
      <x:c r="E368" s="83" t="str">
        <x:v>Monitoring - ATT 단위 동작 구현</x:v>
      </x:c>
      <x:c r="F368" s="83" t="str">
        <x:v>09-02</x:v>
      </x:c>
      <x:c r="G368" s="83" t="str">
        <x:v>Optics 동작·Recipe 연계</x:v>
      </x:c>
      <x:c r="H368" s="83" t="str">
        <x:v>E-ATT</x:v>
      </x:c>
      <x:c r="I368" s="83" t="str">
        <x:v>Drilling.Common/Interface/Serial/CConex_AGP.cs</x:v>
      </x:c>
      <x:c r="J368" s="83" t="str">
        <x:v>CConex_AGP</x:v>
      </x:c>
      <x:c r="K368" s="83" t="str">
        <x:v>Execute</x:v>
      </x:c>
      <x:c r="L368" s="83" t="str">
        <x:v>부분 반영</x:v>
      </x:c>
      <x:c r="M368" s="84" t="n">
        <x:v>0.73</x:v>
      </x:c>
      <x:c r="N368" s="83" t="str">
        <x:v>일부 구현은 확인되나 실장비 연동, Timeout/Alarm/Recovery, 저장·복원 또는 고객 수용시험 증빙이 부족</x:v>
      </x:c>
    </x:row>
    <x:row r="369" ht="42" customHeight="1">
      <x:c r="A369" s="83" t="str">
        <x:v>SS-002</x:v>
      </x:c>
      <x:c r="B369" s="83" t="str">
        <x:v>Optic 세팅 및 모니터링</x:v>
      </x:c>
      <x:c r="C369" s="83" t="n">
        <x:v>103</x:v>
      </x:c>
      <x:c r="D369" s="83" t="str">
        <x:v>기능</x:v>
      </x:c>
      <x:c r="E369" s="83" t="str">
        <x:v>Monitoring - BET 단위 동작 구현</x:v>
      </x:c>
      <x:c r="F369" s="83" t="str">
        <x:v>09-02</x:v>
      </x:c>
      <x:c r="G369" s="83" t="str">
        <x:v>Optics 동작·Recipe 연계</x:v>
      </x:c>
      <x:c r="H369" s="83" t="str">
        <x:v>E-BET</x:v>
      </x:c>
      <x:c r="I369" s="83" t="str">
        <x:v>Drilling.Common/Interface/Serial/CBeamExpander.cs</x:v>
      </x:c>
      <x:c r="J369" s="83" t="str">
        <x:v>CBeamExpander</x:v>
      </x:c>
      <x:c r="K369" s="83" t="str">
        <x:v>Execute</x:v>
      </x:c>
      <x:c r="L369" s="83" t="str">
        <x:v>부분 반영</x:v>
      </x:c>
      <x:c r="M369" s="84" t="n">
        <x:v>0.73</x:v>
      </x:c>
      <x:c r="N369" s="83" t="str">
        <x:v>일부 구현은 확인되나 실장비 연동, Timeout/Alarm/Recovery, 저장·복원 또는 고객 수용시험 증빙이 부족</x:v>
      </x:c>
    </x:row>
    <x:row r="370" ht="42" customHeight="1">
      <x:c r="A370" s="83" t="str">
        <x:v>SS-003</x:v>
      </x:c>
      <x:c r="B370" s="83" t="str">
        <x:v>Scanner 세팅</x:v>
      </x:c>
      <x:c r="C370" s="83" t="n">
        <x:v>34</x:v>
      </x:c>
      <x:c r="D370" s="83" t="str">
        <x:v>통신</x:v>
      </x:c>
      <x:c r="E370" s="83" t="str">
        <x:v>Automation1 연동 기능 구현</x:v>
      </x:c>
      <x:c r="F370" s="83" t="str">
        <x:v>08-02</x:v>
      </x:c>
      <x:c r="G370" s="83" t="str">
        <x:v>Default Offset·Virtual Origin</x:v>
      </x:c>
      <x:c r="H370" s="83" t="str">
        <x:v>E-AUTOMATION</x:v>
      </x:c>
      <x:c r="I370" s="83" t="str">
        <x:v>Drilling.Common/Interface/Automation1/CAutomation1Comm.cs</x:v>
      </x:c>
      <x:c r="J370" s="83" t="str">
        <x:v>CAutomation1Comm</x:v>
      </x:c>
      <x:c r="K370" s="83" t="str">
        <x:v>Execute</x:v>
      </x:c>
      <x:c r="L370" s="83" t="str">
        <x:v>부분 반영</x:v>
      </x:c>
      <x:c r="M370" s="84" t="n">
        <x:v>0.85</x:v>
      </x:c>
      <x:c r="N370" s="83" t="str">
        <x:v>일부 구현은 확인되나 실장비 연동, Timeout/Alarm/Recovery, 저장·복원 또는 고객 수용시험 증빙이 부족</x:v>
      </x:c>
    </x:row>
    <x:row r="371" ht="42" customHeight="1">
      <x:c r="A371" s="83" t="str">
        <x:v>SS-003</x:v>
      </x:c>
      <x:c r="B371" s="83" t="str">
        <x:v>Scanner 세팅</x:v>
      </x:c>
      <x:c r="C371" s="83" t="n">
        <x:v>34</x:v>
      </x:c>
      <x:c r="D371" s="83" t="str">
        <x:v>통신</x:v>
      </x:c>
      <x:c r="E371" s="83" t="str">
        <x:v>Automation1 연동 기능 구현</x:v>
      </x:c>
      <x:c r="F371" s="83" t="str">
        <x:v>08-04</x:v>
      </x:c>
      <x:c r="G371" s="83" t="str">
        <x:v>Scanner Mapping</x:v>
      </x:c>
      <x:c r="H371" s="83" t="str">
        <x:v>E-AUTOMATION</x:v>
      </x:c>
      <x:c r="I371" s="83" t="str">
        <x:v>Drilling.Common/Interface/Automation1/CAutomation1Comm.cs</x:v>
      </x:c>
      <x:c r="J371" s="83" t="str">
        <x:v>CAutomation1Comm</x:v>
      </x:c>
      <x:c r="K371" s="83" t="str">
        <x:v>Execute</x:v>
      </x:c>
      <x:c r="L371" s="83" t="str">
        <x:v>부분 반영</x:v>
      </x:c>
      <x:c r="M371" s="84" t="n">
        <x:v>0.85</x:v>
      </x:c>
      <x:c r="N371" s="83" t="str">
        <x:v>일부 구현은 확인되나 실장비 연동, Timeout/Alarm/Recovery, 저장·복원 또는 고객 수용시험 증빙이 부족</x:v>
      </x:c>
    </x:row>
    <x:row r="372" ht="42" customHeight="1">
      <x:c r="A372" s="83" t="str">
        <x:v>SS-003</x:v>
      </x:c>
      <x:c r="B372" s="83" t="str">
        <x:v>Scanner 세팅</x:v>
      </x:c>
      <x:c r="C372" s="83" t="n">
        <x:v>39</x:v>
      </x:c>
      <x:c r="D372" s="83" t="str">
        <x:v>File/Data</x:v>
      </x:c>
      <x:c r="E372" s="83" t="str">
        <x:v>Motor Config - 항목 구조 확정</x:v>
      </x:c>
      <x:c r="F372" s="83" t="str">
        <x:v>08-02</x:v>
      </x:c>
      <x:c r="G372" s="83" t="str">
        <x:v>Default Offset·Virtual Origin</x:v>
      </x:c>
      <x:c r="H372" s="83" t="str">
        <x:v>E-SETTING-FILE</x:v>
      </x:c>
      <x:c r="I372" s="83" t="str">
        <x:v>Drilling.File/JHMI/CSettingFile.cs</x:v>
      </x:c>
      <x:c r="J372" s="83" t="str">
        <x:v>CSettingFile</x:v>
      </x:c>
      <x:c r="K372" s="83" t="str">
        <x:v>Save</x:v>
      </x:c>
      <x:c r="L372" s="83" t="str">
        <x:v>부분 반영</x:v>
      </x:c>
      <x:c r="M372" s="84" t="n">
        <x:v>0.85</x:v>
      </x:c>
      <x:c r="N372" s="83" t="str">
        <x:v>일부 구현은 확인되나 실장비 연동, Timeout/Alarm/Recovery, 저장·복원 또는 고객 수용시험 증빙이 부족</x:v>
      </x:c>
    </x:row>
    <x:row r="373" ht="42" customHeight="1">
      <x:c r="A373" s="83" t="str">
        <x:v>SS-003</x:v>
      </x:c>
      <x:c r="B373" s="83" t="str">
        <x:v>Scanner 세팅</x:v>
      </x:c>
      <x:c r="C373" s="83" t="n">
        <x:v>39</x:v>
      </x:c>
      <x:c r="D373" s="83" t="str">
        <x:v>File/Data</x:v>
      </x:c>
      <x:c r="E373" s="83" t="str">
        <x:v>Motor Config - 항목 구조 확정</x:v>
      </x:c>
      <x:c r="F373" s="83" t="str">
        <x:v>08-04</x:v>
      </x:c>
      <x:c r="G373" s="83" t="str">
        <x:v>Scanner Mapping</x:v>
      </x:c>
      <x:c r="H373" s="83" t="str">
        <x:v>E-SETTING-FILE</x:v>
      </x:c>
      <x:c r="I373" s="83" t="str">
        <x:v>Drilling.File/JHMI/CSettingFile.cs</x:v>
      </x:c>
      <x:c r="J373" s="83" t="str">
        <x:v>CSettingFile</x:v>
      </x:c>
      <x:c r="K373" s="83" t="str">
        <x:v>Save</x:v>
      </x:c>
      <x:c r="L373" s="83" t="str">
        <x:v>부분 반영</x:v>
      </x:c>
      <x:c r="M373" s="84" t="n">
        <x:v>0.85</x:v>
      </x:c>
      <x:c r="N373" s="83" t="str">
        <x:v>일부 구현은 확인되나 실장비 연동, Timeout/Alarm/Recovery, 저장·복원 또는 고객 수용시험 증빙이 부족</x:v>
      </x:c>
    </x:row>
    <x:row r="374" ht="42" customHeight="1">
      <x:c r="A374" s="83" t="str">
        <x:v>SS-003</x:v>
      </x:c>
      <x:c r="B374" s="83" t="str">
        <x:v>Scanner 세팅</x:v>
      </x:c>
      <x:c r="C374" s="83" t="n">
        <x:v>96</x:v>
      </x:c>
      <x:c r="D374" s="83" t="str">
        <x:v>기능</x:v>
      </x:c>
      <x:c r="E374" s="83" t="str">
        <x:v>Head별 Parameter 목록 확정</x:v>
      </x:c>
      <x:c r="F374" s="83" t="str">
        <x:v>08-02</x:v>
      </x:c>
      <x:c r="G374" s="83" t="str">
        <x:v>Default Offset·Virtual Origin</x:v>
      </x:c>
      <x:c r="H374" s="83" t="str">
        <x:v>E-RECIPE-FILE</x:v>
      </x:c>
      <x:c r="I374" s="83" t="str">
        <x:v>Drilling.File/JHMI/CJhmiRecipeFile.cs</x:v>
      </x:c>
      <x:c r="J374" s="83" t="str">
        <x:v>CJhmiRecipeFile</x:v>
      </x:c>
      <x:c r="K374" s="83" t="str">
        <x:v>Save</x:v>
      </x:c>
      <x:c r="L374" s="83" t="str">
        <x:v>부분 반영</x:v>
      </x:c>
      <x:c r="M374" s="84" t="n">
        <x:v>0.85</x:v>
      </x:c>
      <x:c r="N374" s="83" t="str">
        <x:v>일부 구현은 확인되나 실장비 연동, Timeout/Alarm/Recovery, 저장·복원 또는 고객 수용시험 증빙이 부족</x:v>
      </x:c>
    </x:row>
    <x:row r="375" ht="42" customHeight="1">
      <x:c r="A375" s="83" t="str">
        <x:v>SS-003</x:v>
      </x:c>
      <x:c r="B375" s="83" t="str">
        <x:v>Scanner 세팅</x:v>
      </x:c>
      <x:c r="C375" s="83" t="n">
        <x:v>96</x:v>
      </x:c>
      <x:c r="D375" s="83" t="str">
        <x:v>기능</x:v>
      </x:c>
      <x:c r="E375" s="83" t="str">
        <x:v>Head별 Parameter 목록 확정</x:v>
      </x:c>
      <x:c r="F375" s="83" t="str">
        <x:v>08-04</x:v>
      </x:c>
      <x:c r="G375" s="83" t="str">
        <x:v>Scanner Mapping</x:v>
      </x:c>
      <x:c r="H375" s="83" t="str">
        <x:v>E-RECIPE-FILE</x:v>
      </x:c>
      <x:c r="I375" s="83" t="str">
        <x:v>Drilling.File/JHMI/CJhmiRecipeFile.cs</x:v>
      </x:c>
      <x:c r="J375" s="83" t="str">
        <x:v>CJhmiRecipeFile</x:v>
      </x:c>
      <x:c r="K375" s="83" t="str">
        <x:v>Save</x:v>
      </x:c>
      <x:c r="L375" s="83" t="str">
        <x:v>부분 반영</x:v>
      </x:c>
      <x:c r="M375" s="84" t="n">
        <x:v>0.85</x:v>
      </x:c>
      <x:c r="N375" s="83" t="str">
        <x:v>일부 구현은 확인되나 실장비 연동, Timeout/Alarm/Recovery, 저장·복원 또는 고객 수용시험 증빙이 부족</x:v>
      </x:c>
    </x:row>
    <x:row r="376" ht="42" customHeight="1">
      <x:c r="A376" s="83" t="str">
        <x:v>SS-003</x:v>
      </x:c>
      <x:c r="B376" s="83" t="str">
        <x:v>Scanner 세팅</x:v>
      </x:c>
      <x:c r="C376" s="83" t="n">
        <x:v>97</x:v>
      </x:c>
      <x:c r="D376" s="83" t="str">
        <x:v>기능</x:v>
      </x:c>
      <x:c r="E376" s="83" t="str">
        <x:v>Head별 Parameter 수정·저장 기능 구현</x:v>
      </x:c>
      <x:c r="F376" s="83" t="str">
        <x:v>08-02</x:v>
      </x:c>
      <x:c r="G376" s="83" t="str">
        <x:v>Default Offset·Virtual Origin</x:v>
      </x:c>
      <x:c r="H376" s="83" t="str">
        <x:v>E-RECIPE-FILE</x:v>
      </x:c>
      <x:c r="I376" s="83" t="str">
        <x:v>Drilling.File/JHMI/CJhmiRecipeFile.cs</x:v>
      </x:c>
      <x:c r="J376" s="83" t="str">
        <x:v>CJhmiRecipeFile</x:v>
      </x:c>
      <x:c r="K376" s="83" t="str">
        <x:v>Save</x:v>
      </x:c>
      <x:c r="L376" s="83" t="str">
        <x:v>부분 반영</x:v>
      </x:c>
      <x:c r="M376" s="84" t="n">
        <x:v>0.85</x:v>
      </x:c>
      <x:c r="N376" s="83" t="str">
        <x:v>일부 구현은 확인되나 실장비 연동, Timeout/Alarm/Recovery, 저장·복원 또는 고객 수용시험 증빙이 부족</x:v>
      </x:c>
    </x:row>
    <x:row r="377" ht="42" customHeight="1">
      <x:c r="A377" s="83" t="str">
        <x:v>SS-003</x:v>
      </x:c>
      <x:c r="B377" s="83" t="str">
        <x:v>Scanner 세팅</x:v>
      </x:c>
      <x:c r="C377" s="83" t="n">
        <x:v>97</x:v>
      </x:c>
      <x:c r="D377" s="83" t="str">
        <x:v>기능</x:v>
      </x:c>
      <x:c r="E377" s="83" t="str">
        <x:v>Head별 Parameter 수정·저장 기능 구현</x:v>
      </x:c>
      <x:c r="F377" s="83" t="str">
        <x:v>08-04</x:v>
      </x:c>
      <x:c r="G377" s="83" t="str">
        <x:v>Scanner Mapping</x:v>
      </x:c>
      <x:c r="H377" s="83" t="str">
        <x:v>E-RECIPE-FILE</x:v>
      </x:c>
      <x:c r="I377" s="83" t="str">
        <x:v>Drilling.File/JHMI/CJhmiRecipeFile.cs</x:v>
      </x:c>
      <x:c r="J377" s="83" t="str">
        <x:v>CJhmiRecipeFile</x:v>
      </x:c>
      <x:c r="K377" s="83" t="str">
        <x:v>Save</x:v>
      </x:c>
      <x:c r="L377" s="83" t="str">
        <x:v>부분 반영</x:v>
      </x:c>
      <x:c r="M377" s="84" t="n">
        <x:v>0.85</x:v>
      </x:c>
      <x:c r="N377" s="83" t="str">
        <x:v>일부 구현은 확인되나 실장비 연동, Timeout/Alarm/Recovery, 저장·복원 또는 고객 수용시험 증빙이 부족</x:v>
      </x:c>
    </x:row>
    <x:row r="378" ht="42" customHeight="1">
      <x:c r="A378" s="83" t="str">
        <x:v>SS-003</x:v>
      </x:c>
      <x:c r="B378" s="83" t="str">
        <x:v>Scanner 세팅</x:v>
      </x:c>
      <x:c r="C378" s="83" t="n">
        <x:v>116</x:v>
      </x:c>
      <x:c r="D378" s="83" t="str">
        <x:v>기능</x:v>
      </x:c>
      <x:c r="E378" s="83" t="str">
        <x:v>Automation1 Script 생성 기능 구현</x:v>
      </x:c>
      <x:c r="F378" s="83" t="str">
        <x:v>08-02</x:v>
      </x:c>
      <x:c r="G378" s="83" t="str">
        <x:v>Default Offset·Virtual Origin</x:v>
      </x:c>
      <x:c r="H378" s="83" t="str">
        <x:v>E-SCRIPT</x:v>
      </x:c>
      <x:c r="I378" s="83" t="str">
        <x:v>Drilling.File/Script/CAutomation1ScriptFile.cs</x:v>
      </x:c>
      <x:c r="J378" s="83" t="str">
        <x:v>CAutomation1ScriptFile</x:v>
      </x:c>
      <x:c r="K378" s="83" t="str">
        <x:v>Build</x:v>
      </x:c>
      <x:c r="L378" s="83" t="str">
        <x:v>부분 반영</x:v>
      </x:c>
      <x:c r="M378" s="84" t="n">
        <x:v>0.85</x:v>
      </x:c>
      <x:c r="N378" s="83" t="str">
        <x:v>일부 구현은 확인되나 실장비 연동, Timeout/Alarm/Recovery, 저장·복원 또는 고객 수용시험 증빙이 부족</x:v>
      </x:c>
    </x:row>
    <x:row r="379" ht="42" customHeight="1">
      <x:c r="A379" s="83" t="str">
        <x:v>SS-003</x:v>
      </x:c>
      <x:c r="B379" s="83" t="str">
        <x:v>Scanner 세팅</x:v>
      </x:c>
      <x:c r="C379" s="83" t="n">
        <x:v>116</x:v>
      </x:c>
      <x:c r="D379" s="83" t="str">
        <x:v>기능</x:v>
      </x:c>
      <x:c r="E379" s="83" t="str">
        <x:v>Automation1 Script 생성 기능 구현</x:v>
      </x:c>
      <x:c r="F379" s="83" t="str">
        <x:v>08-04</x:v>
      </x:c>
      <x:c r="G379" s="83" t="str">
        <x:v>Scanner Mapping</x:v>
      </x:c>
      <x:c r="H379" s="83" t="str">
        <x:v>E-SCRIPT</x:v>
      </x:c>
      <x:c r="I379" s="83" t="str">
        <x:v>Drilling.File/Script/CAutomation1ScriptFile.cs</x:v>
      </x:c>
      <x:c r="J379" s="83" t="str">
        <x:v>CAutomation1ScriptFile</x:v>
      </x:c>
      <x:c r="K379" s="83" t="str">
        <x:v>Build</x:v>
      </x:c>
      <x:c r="L379" s="83" t="str">
        <x:v>부분 반영</x:v>
      </x:c>
      <x:c r="M379" s="84" t="n">
        <x:v>0.85</x:v>
      </x:c>
      <x:c r="N379" s="83" t="str">
        <x:v>일부 구현은 확인되나 실장비 연동, Timeout/Alarm/Recovery, 저장·복원 또는 고객 수용시험 증빙이 부족</x:v>
      </x:c>
    </x:row>
    <x:row r="380" ht="42" customHeight="1">
      <x:c r="A380" s="83" t="str">
        <x:v>SS-003</x:v>
      </x:c>
      <x:c r="B380" s="83" t="str">
        <x:v>Scanner 세팅</x:v>
      </x:c>
      <x:c r="C380" s="83" t="n">
        <x:v>117</x:v>
      </x:c>
      <x:c r="D380" s="83" t="str">
        <x:v>기능</x:v>
      </x:c>
      <x:c r="E380" s="83" t="str">
        <x:v>좌표 연동 구현</x:v>
      </x:c>
      <x:c r="F380" s="83" t="str">
        <x:v>08-02</x:v>
      </x:c>
      <x:c r="G380" s="83" t="str">
        <x:v>Default Offset·Virtual Origin</x:v>
      </x:c>
      <x:c r="H380" s="83" t="str">
        <x:v>E-COORD</x:v>
      </x:c>
      <x:c r="I380" s="83" t="str">
        <x:v>Drilling.Common/Recipe/CRecipeHolePlan.cs</x:v>
      </x:c>
      <x:c r="J380" s="83" t="str">
        <x:v>CRecipeHolePlan</x:v>
      </x:c>
      <x:c r="K380" s="83" t="str">
        <x:v>Build</x:v>
      </x:c>
      <x:c r="L380" s="83" t="str">
        <x:v>부분 반영</x:v>
      </x:c>
      <x:c r="M380" s="84" t="n">
        <x:v>0.85</x:v>
      </x:c>
      <x:c r="N380" s="83" t="str">
        <x:v>일부 구현은 확인되나 실장비 연동, Timeout/Alarm/Recovery, 저장·복원 또는 고객 수용시험 증빙이 부족</x:v>
      </x:c>
    </x:row>
    <x:row r="381" ht="42" customHeight="1">
      <x:c r="A381" s="83" t="str">
        <x:v>SS-003</x:v>
      </x:c>
      <x:c r="B381" s="83" t="str">
        <x:v>Scanner 세팅</x:v>
      </x:c>
      <x:c r="C381" s="83" t="n">
        <x:v>117</x:v>
      </x:c>
      <x:c r="D381" s="83" t="str">
        <x:v>기능</x:v>
      </x:c>
      <x:c r="E381" s="83" t="str">
        <x:v>좌표 연동 구현</x:v>
      </x:c>
      <x:c r="F381" s="83" t="str">
        <x:v>08-04</x:v>
      </x:c>
      <x:c r="G381" s="83" t="str">
        <x:v>Scanner Mapping</x:v>
      </x:c>
      <x:c r="H381" s="83" t="str">
        <x:v>E-COORD</x:v>
      </x:c>
      <x:c r="I381" s="83" t="str">
        <x:v>Drilling.Common/Recipe/CRecipeHolePlan.cs</x:v>
      </x:c>
      <x:c r="J381" s="83" t="str">
        <x:v>CRecipeHolePlan</x:v>
      </x:c>
      <x:c r="K381" s="83" t="str">
        <x:v>Build</x:v>
      </x:c>
      <x:c r="L381" s="83" t="str">
        <x:v>부분 반영</x:v>
      </x:c>
      <x:c r="M381" s="84" t="n">
        <x:v>0.85</x:v>
      </x:c>
      <x:c r="N381" s="83" t="str">
        <x:v>일부 구현은 확인되나 실장비 연동, Timeout/Alarm/Recovery, 저장·복원 또는 고객 수용시험 증빙이 부족</x:v>
      </x:c>
    </x:row>
    <x:row r="382" ht="42" customHeight="1">
      <x:c r="A382" s="83" t="str">
        <x:v>SS-004</x:v>
      </x:c>
      <x:c r="B382" s="83" t="str">
        <x:v>파워 보정 (수동/자동)</x:v>
      </x:c>
      <x:c r="C382" s="83" t="n">
        <x:v>16</x:v>
      </x:c>
      <x:c r="D382" s="83" t="str">
        <x:v>UI</x:v>
      </x:c>
      <x:c r="E382" s="83" t="str">
        <x:v>Monitoring - PowerMeter 화면 구현</x:v>
      </x:c>
      <x:c r="F382" s="83" t="str">
        <x:v>09-04</x:v>
      </x:c>
      <x:c r="G382" s="83" t="str">
        <x:v>ATT Power 보정·APC</x:v>
      </x:c>
      <x:c r="H382" s="83" t="str">
        <x:v>E-UI-MONITOR</x:v>
      </x:c>
      <x:c r="I382" s="83" t="str">
        <x:v>Drilling.UI/Menu/Menus/CMenuMonitor.cs</x:v>
      </x:c>
      <x:c r="J382" s="83" t="str">
        <x:v>CMenuMonitor</x:v>
      </x:c>
      <x:c r="K382" s="83" t="str">
        <x:v>RefreshLiveData</x:v>
      </x:c>
      <x:c r="L382" s="83" t="str">
        <x:v>유사하나 불충분</x:v>
      </x:c>
      <x:c r="M382" s="84" t="n">
        <x:v>0.76</x:v>
      </x:c>
      <x:c r="N382" s="83" t="str">
        <x:v>유사 UI/기초 로직은 있으나 고객 대상·조건·데이터·적용방식이 달라 사양확정과 전용 로직·검증이 필요</x:v>
      </x:c>
    </x:row>
    <x:row r="383" ht="42" customHeight="1">
      <x:c r="A383" s="83" t="str">
        <x:v>SS-004</x:v>
      </x:c>
      <x:c r="B383" s="83" t="str">
        <x:v>파워 보정 (수동/자동)</x:v>
      </x:c>
      <x:c r="C383" s="83" t="n">
        <x:v>31</x:v>
      </x:c>
      <x:c r="D383" s="83" t="str">
        <x:v>통신</x:v>
      </x:c>
      <x:c r="E383" s="83" t="str">
        <x:v>PowerMeter 연동 기능 구현</x:v>
      </x:c>
      <x:c r="F383" s="83" t="str">
        <x:v>09-04</x:v>
      </x:c>
      <x:c r="G383" s="83" t="str">
        <x:v>ATT Power 보정·APC</x:v>
      </x:c>
      <x:c r="H383" s="83" t="str">
        <x:v>E-POWERMETER</x:v>
      </x:c>
      <x:c r="I383" s="83" t="str">
        <x:v>Drilling.Common/Interface/Serial/CPowerMeter.cs</x:v>
      </x:c>
      <x:c r="J383" s="83" t="str">
        <x:v>CPowerMeter</x:v>
      </x:c>
      <x:c r="K383" s="83" t="str">
        <x:v>Execute</x:v>
      </x:c>
      <x:c r="L383" s="83" t="str">
        <x:v>유사하나 불충분</x:v>
      </x:c>
      <x:c r="M383" s="84" t="n">
        <x:v>0.76</x:v>
      </x:c>
      <x:c r="N383" s="83" t="str">
        <x:v>유사 UI/기초 로직은 있으나 고객 대상·조건·데이터·적용방식이 달라 사양확정과 전용 로직·검증이 필요</x:v>
      </x:c>
    </x:row>
    <x:row r="384" ht="42" customHeight="1">
      <x:c r="A384" s="83" t="str">
        <x:v>SS-004</x:v>
      </x:c>
      <x:c r="B384" s="83" t="str">
        <x:v>파워 보정 (수동/자동)</x:v>
      </x:c>
      <x:c r="C384" s="83" t="n">
        <x:v>43</x:v>
      </x:c>
      <x:c r="D384" s="83" t="str">
        <x:v>File/Data</x:v>
      </x:c>
      <x:c r="E384" s="83" t="str">
        <x:v>PowerMeter Process - 항목 구조 확정</x:v>
      </x:c>
      <x:c r="F384" s="83" t="str">
        <x:v>09-04</x:v>
      </x:c>
      <x:c r="G384" s="83" t="str">
        <x:v>ATT Power 보정·APC</x:v>
      </x:c>
      <x:c r="H384" s="83" t="str">
        <x:v>E-POWERMETER</x:v>
      </x:c>
      <x:c r="I384" s="83" t="str">
        <x:v>Drilling.Common/Interface/Serial/CPowerMeter.cs</x:v>
      </x:c>
      <x:c r="J384" s="83" t="str">
        <x:v>CPowerMeter</x:v>
      </x:c>
      <x:c r="K384" s="83" t="str">
        <x:v>Execute</x:v>
      </x:c>
      <x:c r="L384" s="83" t="str">
        <x:v>유사하나 불충분</x:v>
      </x:c>
      <x:c r="M384" s="84" t="n">
        <x:v>0.76</x:v>
      </x:c>
      <x:c r="N384" s="83" t="str">
        <x:v>유사 UI/기초 로직은 있으나 고객 대상·조건·데이터·적용방식이 달라 사양확정과 전용 로직·검증이 필요</x:v>
      </x:c>
    </x:row>
    <x:row r="385" ht="42" customHeight="1">
      <x:c r="A385" s="83" t="str">
        <x:v>SS-004</x:v>
      </x:c>
      <x:c r="B385" s="83" t="str">
        <x:v>파워 보정 (수동/자동)</x:v>
      </x:c>
      <x:c r="C385" s="83" t="n">
        <x:v>56</x:v>
      </x:c>
      <x:c r="D385" s="83" t="str">
        <x:v>Sequence</x:v>
      </x:c>
      <x:c r="E385" s="83" t="str">
        <x:v>Power Check Step 구현</x:v>
      </x:c>
      <x:c r="F385" s="83" t="str">
        <x:v>09-04</x:v>
      </x:c>
      <x:c r="G385" s="83" t="str">
        <x:v>ATT Power 보정·APC</x:v>
      </x:c>
      <x:c r="H385" s="83" t="str">
        <x:v>E-SEQUENCE</x:v>
      </x:c>
      <x:c r="I385" s="83" t="str">
        <x:v>Drilling.Common/Station/CStationProcess.cs</x:v>
      </x:c>
      <x:c r="J385" s="83" t="str">
        <x:v>CStationProcess</x:v>
      </x:c>
      <x:c r="K385" s="83" t="str">
        <x:v>RunPreCheck</x:v>
      </x:c>
      <x:c r="L385" s="83" t="str">
        <x:v>유사하나 불충분</x:v>
      </x:c>
      <x:c r="M385" s="84" t="n">
        <x:v>0.76</x:v>
      </x:c>
      <x:c r="N385" s="83" t="str">
        <x:v>유사 UI/기초 로직은 있으나 고객 대상·조건·데이터·적용방식이 달라 사양확정과 전용 로직·검증이 필요</x:v>
      </x:c>
    </x:row>
    <x:row r="386" ht="42" customHeight="1">
      <x:c r="A386" s="83" t="str">
        <x:v>SS-004</x:v>
      </x:c>
      <x:c r="B386" s="83" t="str">
        <x:v>파워 보정 (수동/자동)</x:v>
      </x:c>
      <x:c r="C386" s="83" t="n">
        <x:v>105</x:v>
      </x:c>
      <x:c r="D386" s="83" t="str">
        <x:v>기능</x:v>
      </x:c>
      <x:c r="E386" s="83" t="str">
        <x:v>Monitoring - PowerMeter 단위 동작 구현</x:v>
      </x:c>
      <x:c r="F386" s="83" t="str">
        <x:v>09-04</x:v>
      </x:c>
      <x:c r="G386" s="83" t="str">
        <x:v>ATT Power 보정·APC</x:v>
      </x:c>
      <x:c r="H386" s="83" t="str">
        <x:v>E-POWERMETER</x:v>
      </x:c>
      <x:c r="I386" s="83" t="str">
        <x:v>Drilling.Common/Interface/Serial/CPowerMeter.cs</x:v>
      </x:c>
      <x:c r="J386" s="83" t="str">
        <x:v>CPowerMeter</x:v>
      </x:c>
      <x:c r="K386" s="83" t="str">
        <x:v>Execute</x:v>
      </x:c>
      <x:c r="L386" s="83" t="str">
        <x:v>유사하나 불충분</x:v>
      </x:c>
      <x:c r="M386" s="84" t="n">
        <x:v>0.76</x:v>
      </x:c>
      <x:c r="N386" s="83" t="str">
        <x:v>유사 UI/기초 로직은 있으나 고객 대상·조건·데이터·적용방식이 달라 사양확정과 전용 로직·검증이 필요</x:v>
      </x:c>
    </x:row>
    <x:row r="387" ht="42" customHeight="1">
      <x:c r="A387" s="83" t="str">
        <x:v>SS-005</x:v>
      </x:c>
      <x:c r="B387" s="83" t="str">
        <x:v>파워 측정 데이터 표시</x:v>
      </x:c>
      <x:c r="C387" s="83" t="n">
        <x:v>16</x:v>
      </x:c>
      <x:c r="D387" s="83" t="str">
        <x:v>UI</x:v>
      </x:c>
      <x:c r="E387" s="83" t="str">
        <x:v>Monitoring - PowerMeter 화면 구현</x:v>
      </x:c>
      <x:c r="F387" s="83" t="str">
        <x:v>09-03</x:v>
      </x:c>
      <x:c r="G387" s="83" t="str">
        <x:v>Power Meter 측정</x:v>
      </x:c>
      <x:c r="H387" s="83" t="str">
        <x:v>E-UI-MONITOR</x:v>
      </x:c>
      <x:c r="I387" s="83" t="str">
        <x:v>Drilling.UI/Menu/Menus/CMenuMonitor.cs</x:v>
      </x:c>
      <x:c r="J387" s="83" t="str">
        <x:v>CMenuMonitor</x:v>
      </x:c>
      <x:c r="K387" s="83" t="str">
        <x:v>RefreshLiveData</x:v>
      </x:c>
      <x:c r="L387" s="83" t="str">
        <x:v>부분 반영</x:v>
      </x:c>
      <x:c r="M387" s="84" t="n">
        <x:v>0.75</x:v>
      </x:c>
      <x:c r="N387" s="83" t="str">
        <x:v>일부 구현은 확인되나 실장비 연동, Timeout/Alarm/Recovery, 저장·복원 또는 고객 수용시험 증빙이 부족</x:v>
      </x:c>
    </x:row>
    <x:row r="388" ht="42" customHeight="1">
      <x:c r="A388" s="83" t="str">
        <x:v>SS-005</x:v>
      </x:c>
      <x:c r="B388" s="83" t="str">
        <x:v>파워 측정 데이터 표시</x:v>
      </x:c>
      <x:c r="C388" s="83" t="n">
        <x:v>31</x:v>
      </x:c>
      <x:c r="D388" s="83" t="str">
        <x:v>통신</x:v>
      </x:c>
      <x:c r="E388" s="83" t="str">
        <x:v>PowerMeter 연동 기능 구현</x:v>
      </x:c>
      <x:c r="F388" s="83" t="str">
        <x:v>09-03</x:v>
      </x:c>
      <x:c r="G388" s="83" t="str">
        <x:v>Power Meter 측정</x:v>
      </x:c>
      <x:c r="H388" s="83" t="str">
        <x:v>E-POWERMETER</x:v>
      </x:c>
      <x:c r="I388" s="83" t="str">
        <x:v>Drilling.Common/Interface/Serial/CPowerMeter.cs</x:v>
      </x:c>
      <x:c r="J388" s="83" t="str">
        <x:v>CPowerMeter</x:v>
      </x:c>
      <x:c r="K388" s="83" t="str">
        <x:v>Execute</x:v>
      </x:c>
      <x:c r="L388" s="83" t="str">
        <x:v>부분 반영</x:v>
      </x:c>
      <x:c r="M388" s="84" t="n">
        <x:v>0.75</x:v>
      </x:c>
      <x:c r="N388" s="83" t="str">
        <x:v>일부 구현은 확인되나 실장비 연동, Timeout/Alarm/Recovery, 저장·복원 또는 고객 수용시험 증빙이 부족</x:v>
      </x:c>
    </x:row>
    <x:row r="389" ht="42" customHeight="1">
      <x:c r="A389" s="83" t="str">
        <x:v>SS-005</x:v>
      </x:c>
      <x:c r="B389" s="83" t="str">
        <x:v>파워 측정 데이터 표시</x:v>
      </x:c>
      <x:c r="C389" s="83" t="n">
        <x:v>43</x:v>
      </x:c>
      <x:c r="D389" s="83" t="str">
        <x:v>File/Data</x:v>
      </x:c>
      <x:c r="E389" s="83" t="str">
        <x:v>PowerMeter Process - 항목 구조 확정</x:v>
      </x:c>
      <x:c r="F389" s="83" t="str">
        <x:v>09-03</x:v>
      </x:c>
      <x:c r="G389" s="83" t="str">
        <x:v>Power Meter 측정</x:v>
      </x:c>
      <x:c r="H389" s="83" t="str">
        <x:v>E-POWERMETER</x:v>
      </x:c>
      <x:c r="I389" s="83" t="str">
        <x:v>Drilling.Common/Interface/Serial/CPowerMeter.cs</x:v>
      </x:c>
      <x:c r="J389" s="83" t="str">
        <x:v>CPowerMeter</x:v>
      </x:c>
      <x:c r="K389" s="83" t="str">
        <x:v>Execute</x:v>
      </x:c>
      <x:c r="L389" s="83" t="str">
        <x:v>부분 반영</x:v>
      </x:c>
      <x:c r="M389" s="84" t="n">
        <x:v>0.75</x:v>
      </x:c>
      <x:c r="N389" s="83" t="str">
        <x:v>일부 구현은 확인되나 실장비 연동, Timeout/Alarm/Recovery, 저장·복원 또는 고객 수용시험 증빙이 부족</x:v>
      </x:c>
    </x:row>
    <x:row r="390" ht="42" customHeight="1">
      <x:c r="A390" s="83" t="str">
        <x:v>SS-005</x:v>
      </x:c>
      <x:c r="B390" s="83" t="str">
        <x:v>파워 측정 데이터 표시</x:v>
      </x:c>
      <x:c r="C390" s="83" t="n">
        <x:v>105</x:v>
      </x:c>
      <x:c r="D390" s="83" t="str">
        <x:v>기능</x:v>
      </x:c>
      <x:c r="E390" s="83" t="str">
        <x:v>Monitoring - PowerMeter 단위 동작 구현</x:v>
      </x:c>
      <x:c r="F390" s="83" t="str">
        <x:v>09-03</x:v>
      </x:c>
      <x:c r="G390" s="83" t="str">
        <x:v>Power Meter 측정</x:v>
      </x:c>
      <x:c r="H390" s="83" t="str">
        <x:v>E-POWERMETER</x:v>
      </x:c>
      <x:c r="I390" s="83" t="str">
        <x:v>Drilling.Common/Interface/Serial/CPowerMeter.cs</x:v>
      </x:c>
      <x:c r="J390" s="83" t="str">
        <x:v>CPowerMeter</x:v>
      </x:c>
      <x:c r="K390" s="83" t="str">
        <x:v>Execute</x:v>
      </x:c>
      <x:c r="L390" s="83" t="str">
        <x:v>부분 반영</x:v>
      </x:c>
      <x:c r="M390" s="84" t="n">
        <x:v>0.75</x:v>
      </x:c>
      <x:c r="N390" s="83" t="str">
        <x:v>일부 구현은 확인되나 실장비 연동, Timeout/Alarm/Recovery, 저장·복원 또는 고객 수용시험 증빙이 부족</x:v>
      </x:c>
    </x:row>
    <x:row r="391" ht="42" customHeight="1">
      <x:c r="A391" s="83" t="str">
        <x:v>SS-006</x:v>
      </x:c>
      <x:c r="B391" s="83" t="str">
        <x:v>Attenuator 제어</x:v>
      </x:c>
      <x:c r="C391" s="83" t="n">
        <x:v>20</x:v>
      </x:c>
      <x:c r="D391" s="83" t="str">
        <x:v>UI</x:v>
      </x:c>
      <x:c r="E391" s="83" t="str">
        <x:v>Monitoring - Attenuator 화면 구현</x:v>
      </x:c>
      <x:c r="F391" s="83" t="str">
        <x:v>09-02</x:v>
      </x:c>
      <x:c r="G391" s="83" t="str">
        <x:v>Optics 동작·Recipe 연계</x:v>
      </x:c>
      <x:c r="H391" s="83" t="str">
        <x:v>E-UI-MONITOR</x:v>
      </x:c>
      <x:c r="I391" s="83" t="str">
        <x:v>Drilling.UI/Menu/Menus/CMenuMonitor.cs</x:v>
      </x:c>
      <x:c r="J391" s="83" t="str">
        <x:v>CMenuMonitor</x:v>
      </x:c>
      <x:c r="K391" s="83" t="str">
        <x:v>RefreshLiveData</x:v>
      </x:c>
      <x:c r="L391" s="83" t="str">
        <x:v>부분 반영</x:v>
      </x:c>
      <x:c r="M391" s="84" t="n">
        <x:v>0.77</x:v>
      </x:c>
      <x:c r="N391" s="83" t="str">
        <x:v>일부 구현은 확인되나 실장비 연동, Timeout/Alarm/Recovery, 저장·복원 또는 고객 수용시험 증빙이 부족</x:v>
      </x:c>
    </x:row>
    <x:row r="392" ht="42" customHeight="1">
      <x:c r="A392" s="83" t="str">
        <x:v>SS-006</x:v>
      </x:c>
      <x:c r="B392" s="83" t="str">
        <x:v>Attenuator 제어</x:v>
      </x:c>
      <x:c r="C392" s="83" t="n">
        <x:v>30</x:v>
      </x:c>
      <x:c r="D392" s="83" t="str">
        <x:v>통신</x:v>
      </x:c>
      <x:c r="E392" s="83" t="str">
        <x:v>CONDEX-APG(Attenuator) 연동 기능 구현</x:v>
      </x:c>
      <x:c r="F392" s="83" t="str">
        <x:v>09-02</x:v>
      </x:c>
      <x:c r="G392" s="83" t="str">
        <x:v>Optics 동작·Recipe 연계</x:v>
      </x:c>
      <x:c r="H392" s="83" t="str">
        <x:v>E-ATT</x:v>
      </x:c>
      <x:c r="I392" s="83" t="str">
        <x:v>Drilling.Common/Interface/Serial/CConex_AGP.cs</x:v>
      </x:c>
      <x:c r="J392" s="83" t="str">
        <x:v>CConex_AGP</x:v>
      </x:c>
      <x:c r="K392" s="83" t="str">
        <x:v>Execute</x:v>
      </x:c>
      <x:c r="L392" s="83" t="str">
        <x:v>부분 반영</x:v>
      </x:c>
      <x:c r="M392" s="84" t="n">
        <x:v>0.77</x:v>
      </x:c>
      <x:c r="N392" s="83" t="str">
        <x:v>일부 구현은 확인되나 실장비 연동, Timeout/Alarm/Recovery, 저장·복원 또는 고객 수용시험 증빙이 부족</x:v>
      </x:c>
    </x:row>
    <x:row r="393" ht="42" customHeight="1">
      <x:c r="A393" s="83" t="str">
        <x:v>SS-006</x:v>
      </x:c>
      <x:c r="B393" s="83" t="str">
        <x:v>Attenuator 제어</x:v>
      </x:c>
      <x:c r="C393" s="83" t="n">
        <x:v>102</x:v>
      </x:c>
      <x:c r="D393" s="83" t="str">
        <x:v>기능</x:v>
      </x:c>
      <x:c r="E393" s="83" t="str">
        <x:v>Monitoring - ATT 단위 동작 구현</x:v>
      </x:c>
      <x:c r="F393" s="83" t="str">
        <x:v>09-02</x:v>
      </x:c>
      <x:c r="G393" s="83" t="str">
        <x:v>Optics 동작·Recipe 연계</x:v>
      </x:c>
      <x:c r="H393" s="83" t="str">
        <x:v>E-ATT</x:v>
      </x:c>
      <x:c r="I393" s="83" t="str">
        <x:v>Drilling.Common/Interface/Serial/CConex_AGP.cs</x:v>
      </x:c>
      <x:c r="J393" s="83" t="str">
        <x:v>CConex_AGP</x:v>
      </x:c>
      <x:c r="K393" s="83" t="str">
        <x:v>Execute</x:v>
      </x:c>
      <x:c r="L393" s="83" t="str">
        <x:v>부분 반영</x:v>
      </x:c>
      <x:c r="M393" s="84" t="n">
        <x:v>0.77</x:v>
      </x:c>
      <x:c r="N393" s="83" t="str">
        <x:v>일부 구현은 확인되나 실장비 연동, Timeout/Alarm/Recovery, 저장·복원 또는 고객 수용시험 증빙이 부족</x:v>
      </x:c>
    </x:row>
    <x:row r="394" ht="42" customHeight="1">
      <x:c r="A394" s="83" t="str">
        <x:v>SS-007</x:v>
      </x:c>
      <x:c r="B394" s="83" t="str">
        <x:v>통신 관리</x:v>
      </x:c>
      <x:c r="C394" s="83" t="n">
        <x:v>22</x:v>
      </x:c>
      <x:c r="D394" s="83" t="str">
        <x:v>통신</x:v>
      </x:c>
      <x:c r="E394" s="83" t="str">
        <x:v>Serial 통신 기능 구현</x:v>
      </x:c>
      <x:c r="F394" s="83" t="str">
        <x:v>03-07</x:v>
      </x:c>
      <x:c r="G394" s="83" t="str">
        <x:v>공통 Timeout·재연결 정책</x:v>
      </x:c>
      <x:c r="H394" s="83" t="str">
        <x:v>E-SERIAL</x:v>
      </x:c>
      <x:c r="I394" s="83" t="str">
        <x:v>Drilling.Common/Interface/Serial/CSerialComm.cs</x:v>
      </x:c>
      <x:c r="J394" s="83" t="str">
        <x:v>CSerialComm</x:v>
      </x:c>
      <x:c r="K394" s="83" t="str">
        <x:v>Open</x:v>
      </x:c>
      <x:c r="L394" s="83" t="str">
        <x:v>부분 반영</x:v>
      </x:c>
      <x:c r="M394" s="84" t="n">
        <x:v>0.76</x:v>
      </x:c>
      <x:c r="N394" s="83" t="str">
        <x:v>일부 구현은 확인되나 실장비 연동, Timeout/Alarm/Recovery, 저장·복원 또는 고객 수용시험 증빙이 부족</x:v>
      </x:c>
    </x:row>
    <x:row r="395" ht="42" customHeight="1">
      <x:c r="A395" s="83" t="str">
        <x:v>SS-007</x:v>
      </x:c>
      <x:c r="B395" s="83" t="str">
        <x:v>통신 관리</x:v>
      </x:c>
      <x:c r="C395" s="83" t="n">
        <x:v>23</x:v>
      </x:c>
      <x:c r="D395" s="83" t="str">
        <x:v>통신</x:v>
      </x:c>
      <x:c r="E395" s="83" t="str">
        <x:v>Socket 통신 기능 구현</x:v>
      </x:c>
      <x:c r="F395" s="83" t="str">
        <x:v>03-07</x:v>
      </x:c>
      <x:c r="G395" s="83" t="str">
        <x:v>공통 Timeout·재연결 정책</x:v>
      </x:c>
      <x:c r="H395" s="83" t="str">
        <x:v>E-SOCKET</x:v>
      </x:c>
      <x:c r="I395" s="83" t="str">
        <x:v>Drilling.Common/Interface/Socket/CSocketComm.cs</x:v>
      </x:c>
      <x:c r="J395" s="83" t="str">
        <x:v>CSocketComm</x:v>
      </x:c>
      <x:c r="K395" s="83" t="str">
        <x:v>Connect</x:v>
      </x:c>
      <x:c r="L395" s="83" t="str">
        <x:v>부분 반영</x:v>
      </x:c>
      <x:c r="M395" s="84" t="n">
        <x:v>0.76</x:v>
      </x:c>
      <x:c r="N395" s="83" t="str">
        <x:v>일부 구현은 확인되나 실장비 연동, Timeout/Alarm/Recovery, 저장·복원 또는 고객 수용시험 증빙이 부족</x:v>
      </x:c>
    </x:row>
    <x:row r="396" ht="42" customHeight="1">
      <x:c r="A396" s="83" t="str">
        <x:v>SS-007</x:v>
      </x:c>
      <x:c r="B396" s="83" t="str">
        <x:v>통신 관리</x:v>
      </x:c>
      <x:c r="C396" s="83" t="n">
        <x:v>24</x:v>
      </x:c>
      <x:c r="D396" s="83" t="str">
        <x:v>통신</x:v>
      </x:c>
      <x:c r="E396" s="83" t="str">
        <x:v>PLC(Melsec) 통신 기능 구현</x:v>
      </x:c>
      <x:c r="F396" s="83" t="str">
        <x:v>03-07</x:v>
      </x:c>
      <x:c r="G396" s="83" t="str">
        <x:v>공통 Timeout·재연결 정책</x:v>
      </x:c>
      <x:c r="H396" s="83" t="str">
        <x:v>E-PLC</x:v>
      </x:c>
      <x:c r="I396" s="83" t="str">
        <x:v>Drilling.Common/Interface/Melsec/CMelsec.cs</x:v>
      </x:c>
      <x:c r="J396" s="83" t="str">
        <x:v>CMelsec</x:v>
      </x:c>
      <x:c r="K396" s="83" t="str">
        <x:v>QueueWriteBit</x:v>
      </x:c>
      <x:c r="L396" s="83" t="str">
        <x:v>부분 반영</x:v>
      </x:c>
      <x:c r="M396" s="84" t="n">
        <x:v>0.76</x:v>
      </x:c>
      <x:c r="N396" s="83" t="str">
        <x:v>일부 구현은 확인되나 실장비 연동, Timeout/Alarm/Recovery, 저장·복원 또는 고객 수용시험 증빙이 부족</x:v>
      </x:c>
    </x:row>
    <x:row r="397" ht="42" customHeight="1">
      <x:c r="A397" s="83" t="str">
        <x:v>SS-007</x:v>
      </x:c>
      <x:c r="B397" s="83" t="str">
        <x:v>통신 관리</x:v>
      </x:c>
      <x:c r="C397" s="83" t="n">
        <x:v>25</x:v>
      </x:c>
      <x:c r="D397" s="83" t="str">
        <x:v>통신</x:v>
      </x:c>
      <x:c r="E397" s="83" t="str">
        <x:v>XPS Motion Controller 연동 기능 구현</x:v>
      </x:c>
      <x:c r="F397" s="83" t="str">
        <x:v>03-07</x:v>
      </x:c>
      <x:c r="G397" s="83" t="str">
        <x:v>공통 Timeout·재연결 정책</x:v>
      </x:c>
      <x:c r="H397" s="83" t="str">
        <x:v>E-XPS</x:v>
      </x:c>
      <x:c r="I397" s="83" t="str">
        <x:v>Drilling.Common/Motion/XPS/CXpsMotion.cs</x:v>
      </x:c>
      <x:c r="J397" s="83" t="str">
        <x:v>CXpsMotion</x:v>
      </x:c>
      <x:c r="K397" s="83" t="str">
        <x:v>MoveAbs</x:v>
      </x:c>
      <x:c r="L397" s="83" t="str">
        <x:v>부분 반영</x:v>
      </x:c>
      <x:c r="M397" s="84" t="n">
        <x:v>0.76</x:v>
      </x:c>
      <x:c r="N397" s="83" t="str">
        <x:v>일부 구현은 확인되나 실장비 연동, Timeout/Alarm/Recovery, 저장·복원 또는 고객 수용시험 증빙이 부족</x:v>
      </x:c>
    </x:row>
    <x:row r="398" ht="42" customHeight="1">
      <x:c r="A398" s="83" t="str">
        <x:v>SS-007</x:v>
      </x:c>
      <x:c r="B398" s="83" t="str">
        <x:v>통신 관리</x:v>
      </x:c>
      <x:c r="C398" s="83" t="n">
        <x:v>26</x:v>
      </x:c>
      <x:c r="D398" s="83" t="str">
        <x:v>통신</x:v>
      </x:c>
      <x:c r="E398" s="83" t="str">
        <x:v>Talon Laser 연동 기능 구현</x:v>
      </x:c>
      <x:c r="F398" s="83" t="str">
        <x:v>03-07</x:v>
      </x:c>
      <x:c r="G398" s="83" t="str">
        <x:v>공통 Timeout·재연결 정책</x:v>
      </x:c>
      <x:c r="H398" s="83" t="str">
        <x:v>E-LASER</x:v>
      </x:c>
      <x:c r="I398" s="83" t="str">
        <x:v>Drilling.Common/Interface/Serial/CTalonLaser.cs</x:v>
      </x:c>
      <x:c r="J398" s="83" t="str">
        <x:v>CTalonLaser</x:v>
      </x:c>
      <x:c r="K398" s="83" t="str">
        <x:v>Execute</x:v>
      </x:c>
      <x:c r="L398" s="83" t="str">
        <x:v>부분 반영</x:v>
      </x:c>
      <x:c r="M398" s="84" t="n">
        <x:v>0.76</x:v>
      </x:c>
      <x:c r="N398" s="83" t="str">
        <x:v>일부 구현은 확인되나 실장비 연동, Timeout/Alarm/Recovery, 저장·복원 또는 고객 수용시험 증빙이 부족</x:v>
      </x:c>
    </x:row>
    <x:row r="399" ht="42" customHeight="1">
      <x:c r="A399" s="83" t="str">
        <x:v>SS-007</x:v>
      </x:c>
      <x:c r="B399" s="83" t="str">
        <x:v>통신 관리</x:v>
      </x:c>
      <x:c r="C399" s="83" t="n">
        <x:v>27</x:v>
      </x:c>
      <x:c r="D399" s="83" t="str">
        <x:v>통신</x:v>
      </x:c>
      <x:c r="E399" s="83" t="str">
        <x:v>PicoMotor 연동 기능 구현</x:v>
      </x:c>
      <x:c r="F399" s="83" t="str">
        <x:v>03-07</x:v>
      </x:c>
      <x:c r="G399" s="83" t="str">
        <x:v>공통 Timeout·재연결 정책</x:v>
      </x:c>
      <x:c r="H399" s="83" t="str">
        <x:v>E-PICO</x:v>
      </x:c>
      <x:c r="I399" s="83" t="str">
        <x:v>Drilling.Common/Interface/PicoMotor/CPicoMotorService.cs</x:v>
      </x:c>
      <x:c r="J399" s="83" t="str">
        <x:v>CPicoMotorService</x:v>
      </x:c>
      <x:c r="K399" s="83" t="str">
        <x:v>MoveAbsolute</x:v>
      </x:c>
      <x:c r="L399" s="83" t="str">
        <x:v>부분 반영</x:v>
      </x:c>
      <x:c r="M399" s="84" t="n">
        <x:v>0.76</x:v>
      </x:c>
      <x:c r="N399" s="83" t="str">
        <x:v>일부 구현은 확인되나 실장비 연동, Timeout/Alarm/Recovery, 저장·복원 또는 고객 수용시험 증빙이 부족</x:v>
      </x:c>
    </x:row>
    <x:row r="400" ht="42" customHeight="1">
      <x:c r="A400" s="83" t="str">
        <x:v>SS-007</x:v>
      </x:c>
      <x:c r="B400" s="83" t="str">
        <x:v>통신 관리</x:v>
      </x:c>
      <x:c r="C400" s="83" t="n">
        <x:v>28</x:v>
      </x:c>
      <x:c r="D400" s="83" t="str">
        <x:v>통신</x:v>
      </x:c>
      <x:c r="E400" s="83" t="str">
        <x:v>Chiller 연동 기능 구현</x:v>
      </x:c>
      <x:c r="F400" s="83" t="str">
        <x:v>03-07</x:v>
      </x:c>
      <x:c r="G400" s="83" t="str">
        <x:v>공통 Timeout·재연결 정책</x:v>
      </x:c>
      <x:c r="H400" s="83" t="str">
        <x:v>E-CHILLER</x:v>
      </x:c>
      <x:c r="I400" s="83" t="str">
        <x:v>Drilling.Common/Interface/Serial/COrionChiller.cs</x:v>
      </x:c>
      <x:c r="J400" s="83" t="str">
        <x:v>COrionChiller</x:v>
      </x:c>
      <x:c r="K400" s="83" t="str">
        <x:v>Execute</x:v>
      </x:c>
      <x:c r="L400" s="83" t="str">
        <x:v>부분 반영</x:v>
      </x:c>
      <x:c r="M400" s="84" t="n">
        <x:v>0.76</x:v>
      </x:c>
      <x:c r="N400" s="83" t="str">
        <x:v>일부 구현은 확인되나 실장비 연동, Timeout/Alarm/Recovery, 저장·복원 또는 고객 수용시험 증빙이 부족</x:v>
      </x:c>
    </x:row>
    <x:row r="401" ht="42" customHeight="1">
      <x:c r="A401" s="83" t="str">
        <x:v>SS-007</x:v>
      </x:c>
      <x:c r="B401" s="83" t="str">
        <x:v>통신 관리</x:v>
      </x:c>
      <x:c r="C401" s="83" t="n">
        <x:v>29</x:v>
      </x:c>
      <x:c r="D401" s="83" t="str">
        <x:v>통신</x:v>
      </x:c>
      <x:c r="E401" s="83" t="str">
        <x:v>BET 연동 기능 구현</x:v>
      </x:c>
      <x:c r="F401" s="83" t="str">
        <x:v>03-07</x:v>
      </x:c>
      <x:c r="G401" s="83" t="str">
        <x:v>공통 Timeout·재연결 정책</x:v>
      </x:c>
      <x:c r="H401" s="83" t="str">
        <x:v>E-BET</x:v>
      </x:c>
      <x:c r="I401" s="83" t="str">
        <x:v>Drilling.Common/Interface/Serial/CBeamExpander.cs</x:v>
      </x:c>
      <x:c r="J401" s="83" t="str">
        <x:v>CBeamExpander</x:v>
      </x:c>
      <x:c r="K401" s="83" t="str">
        <x:v>Execute</x:v>
      </x:c>
      <x:c r="L401" s="83" t="str">
        <x:v>부분 반영</x:v>
      </x:c>
      <x:c r="M401" s="84" t="n">
        <x:v>0.76</x:v>
      </x:c>
      <x:c r="N401" s="83" t="str">
        <x:v>일부 구현은 확인되나 실장비 연동, Timeout/Alarm/Recovery, 저장·복원 또는 고객 수용시험 증빙이 부족</x:v>
      </x:c>
    </x:row>
    <x:row r="402" ht="42" customHeight="1">
      <x:c r="A402" s="83" t="str">
        <x:v>SS-007</x:v>
      </x:c>
      <x:c r="B402" s="83" t="str">
        <x:v>통신 관리</x:v>
      </x:c>
      <x:c r="C402" s="83" t="n">
        <x:v>30</x:v>
      </x:c>
      <x:c r="D402" s="83" t="str">
        <x:v>통신</x:v>
      </x:c>
      <x:c r="E402" s="83" t="str">
        <x:v>CONDEX-APG(Attenuator) 연동 기능 구현</x:v>
      </x:c>
      <x:c r="F402" s="83" t="str">
        <x:v>03-07</x:v>
      </x:c>
      <x:c r="G402" s="83" t="str">
        <x:v>공통 Timeout·재연결 정책</x:v>
      </x:c>
      <x:c r="H402" s="83" t="str">
        <x:v>E-ATT</x:v>
      </x:c>
      <x:c r="I402" s="83" t="str">
        <x:v>Drilling.Common/Interface/Serial/CConex_AGP.cs</x:v>
      </x:c>
      <x:c r="J402" s="83" t="str">
        <x:v>CConex_AGP</x:v>
      </x:c>
      <x:c r="K402" s="83" t="str">
        <x:v>Execute</x:v>
      </x:c>
      <x:c r="L402" s="83" t="str">
        <x:v>부분 반영</x:v>
      </x:c>
      <x:c r="M402" s="84" t="n">
        <x:v>0.76</x:v>
      </x:c>
      <x:c r="N402" s="83" t="str">
        <x:v>일부 구현은 확인되나 실장비 연동, Timeout/Alarm/Recovery, 저장·복원 또는 고객 수용시험 증빙이 부족</x:v>
      </x:c>
    </x:row>
    <x:row r="403" ht="42" customHeight="1">
      <x:c r="A403" s="83" t="str">
        <x:v>SS-007</x:v>
      </x:c>
      <x:c r="B403" s="83" t="str">
        <x:v>통신 관리</x:v>
      </x:c>
      <x:c r="C403" s="83" t="n">
        <x:v>31</x:v>
      </x:c>
      <x:c r="D403" s="83" t="str">
        <x:v>통신</x:v>
      </x:c>
      <x:c r="E403" s="83" t="str">
        <x:v>PowerMeter 연동 기능 구현</x:v>
      </x:c>
      <x:c r="F403" s="83" t="str">
        <x:v>03-07</x:v>
      </x:c>
      <x:c r="G403" s="83" t="str">
        <x:v>공통 Timeout·재연결 정책</x:v>
      </x:c>
      <x:c r="H403" s="83" t="str">
        <x:v>E-POWERMETER</x:v>
      </x:c>
      <x:c r="I403" s="83" t="str">
        <x:v>Drilling.Common/Interface/Serial/CPowerMeter.cs</x:v>
      </x:c>
      <x:c r="J403" s="83" t="str">
        <x:v>CPowerMeter</x:v>
      </x:c>
      <x:c r="K403" s="83" t="str">
        <x:v>Execute</x:v>
      </x:c>
      <x:c r="L403" s="83" t="str">
        <x:v>부분 반영</x:v>
      </x:c>
      <x:c r="M403" s="84" t="n">
        <x:v>0.76</x:v>
      </x:c>
      <x:c r="N403" s="83" t="str">
        <x:v>일부 구현은 확인되나 실장비 연동, Timeout/Alarm/Recovery, 저장·복원 또는 고객 수용시험 증빙이 부족</x:v>
      </x:c>
    </x:row>
    <x:row r="404" ht="42" customHeight="1">
      <x:c r="A404" s="83" t="str">
        <x:v>SS-007</x:v>
      </x:c>
      <x:c r="B404" s="83" t="str">
        <x:v>통신 관리</x:v>
      </x:c>
      <x:c r="C404" s="83" t="n">
        <x:v>32</x:v>
      </x:c>
      <x:c r="D404" s="83" t="str">
        <x:v>통신</x:v>
      </x:c>
      <x:c r="E404" s="83" t="str">
        <x:v>Stage PC 통신 연동</x:v>
      </x:c>
      <x:c r="F404" s="83" t="str">
        <x:v>03-07</x:v>
      </x:c>
      <x:c r="G404" s="83" t="str">
        <x:v>공통 Timeout·재연결 정책</x:v>
      </x:c>
      <x:c r="H404" s="83" t="str">
        <x:v>E-SOCKET</x:v>
      </x:c>
      <x:c r="I404" s="83" t="str">
        <x:v>Drilling.Common/Interface/Socket/CSocketComm.cs</x:v>
      </x:c>
      <x:c r="J404" s="83" t="str">
        <x:v>CSocketComm</x:v>
      </x:c>
      <x:c r="K404" s="83" t="str">
        <x:v>Connect</x:v>
      </x:c>
      <x:c r="L404" s="83" t="str">
        <x:v>부분 반영</x:v>
      </x:c>
      <x:c r="M404" s="84" t="n">
        <x:v>0.76</x:v>
      </x:c>
      <x:c r="N404" s="83" t="str">
        <x:v>일부 구현은 확인되나 실장비 연동, Timeout/Alarm/Recovery, 저장·복원 또는 고객 수용시험 증빙이 부족</x:v>
      </x:c>
    </x:row>
    <x:row r="405" ht="42" customHeight="1">
      <x:c r="A405" s="83" t="str">
        <x:v>SS-007</x:v>
      </x:c>
      <x:c r="B405" s="83" t="str">
        <x:v>통신 관리</x:v>
      </x:c>
      <x:c r="C405" s="83" t="n">
        <x:v>33</x:v>
      </x:c>
      <x:c r="D405" s="83" t="str">
        <x:v>통신</x:v>
      </x:c>
      <x:c r="E405" s="83" t="str">
        <x:v>Vision PC 통신 연동</x:v>
      </x:c>
      <x:c r="F405" s="83" t="str">
        <x:v>03-07</x:v>
      </x:c>
      <x:c r="G405" s="83" t="str">
        <x:v>공통 Timeout·재연결 정책</x:v>
      </x:c>
      <x:c r="H405" s="83" t="str">
        <x:v>E-REVIEW</x:v>
      </x:c>
      <x:c r="I405" s="83" t="str">
        <x:v>Drilling.Common/Review/CReviewManager.cs</x:v>
      </x:c>
      <x:c r="J405" s="83" t="str">
        <x:v>CReviewManager</x:v>
      </x:c>
      <x:c r="K405" s="83" t="str">
        <x:v>CreatePlan</x:v>
      </x:c>
      <x:c r="L405" s="83" t="str">
        <x:v>부분 반영</x:v>
      </x:c>
      <x:c r="M405" s="84" t="n">
        <x:v>0.76</x:v>
      </x:c>
      <x:c r="N405" s="83" t="str">
        <x:v>일부 구현은 확인되나 실장비 연동, Timeout/Alarm/Recovery, 저장·복원 또는 고객 수용시험 증빙이 부족</x:v>
      </x:c>
    </x:row>
    <x:row r="406" ht="42" customHeight="1">
      <x:c r="A406" s="83" t="str">
        <x:v>SS-007</x:v>
      </x:c>
      <x:c r="B406" s="83" t="str">
        <x:v>통신 관리</x:v>
      </x:c>
      <x:c r="C406" s="83" t="n">
        <x:v>34</x:v>
      </x:c>
      <x:c r="D406" s="83" t="str">
        <x:v>통신</x:v>
      </x:c>
      <x:c r="E406" s="83" t="str">
        <x:v>Automation1 연동 기능 구현</x:v>
      </x:c>
      <x:c r="F406" s="83" t="str">
        <x:v>03-07</x:v>
      </x:c>
      <x:c r="G406" s="83" t="str">
        <x:v>공통 Timeout·재연결 정책</x:v>
      </x:c>
      <x:c r="H406" s="83" t="str">
        <x:v>E-AUTOMATION</x:v>
      </x:c>
      <x:c r="I406" s="83" t="str">
        <x:v>Drilling.Common/Interface/Automation1/CAutomation1Comm.cs</x:v>
      </x:c>
      <x:c r="J406" s="83" t="str">
        <x:v>CAutomation1Comm</x:v>
      </x:c>
      <x:c r="K406" s="83" t="str">
        <x:v>Execute</x:v>
      </x:c>
      <x:c r="L406" s="83" t="str">
        <x:v>부분 반영</x:v>
      </x:c>
      <x:c r="M406" s="84" t="n">
        <x:v>0.76</x:v>
      </x:c>
      <x:c r="N406" s="83" t="str">
        <x:v>일부 구현은 확인되나 실장비 연동, Timeout/Alarm/Recovery, 저장·복원 또는 고객 수용시험 증빙이 부족</x:v>
      </x:c>
    </x:row>
    <x:row r="407" ht="42" customHeight="1">
      <x:c r="A407" s="83" t="str">
        <x:v>SS-007</x:v>
      </x:c>
      <x:c r="B407" s="83" t="str">
        <x:v>통신 관리</x:v>
      </x:c>
      <x:c r="C407" s="83" t="n">
        <x:v>38</x:v>
      </x:c>
      <x:c r="D407" s="83" t="str">
        <x:v>File/Data</x:v>
      </x:c>
      <x:c r="E407" s="83" t="str">
        <x:v>I/F Config - 항목 구조 확정</x:v>
      </x:c>
      <x:c r="F407" s="83" t="str">
        <x:v>03-07</x:v>
      </x:c>
      <x:c r="G407" s="83" t="str">
        <x:v>공통 Timeout·재연결 정책</x:v>
      </x:c>
      <x:c r="H407" s="83" t="str">
        <x:v>E-IF-MANAGER</x:v>
      </x:c>
      <x:c r="I407" s="83" t="str">
        <x:v>Drilling.Common/Interface/CInterfaceManager.cs</x:v>
      </x:c>
      <x:c r="J407" s="83" t="str">
        <x:v>CInterfaceManager</x:v>
      </x:c>
      <x:c r="K407" s="83" t="str">
        <x:v>Reconnect</x:v>
      </x:c>
      <x:c r="L407" s="83" t="str">
        <x:v>부분 반영</x:v>
      </x:c>
      <x:c r="M407" s="84" t="n">
        <x:v>0.76</x:v>
      </x:c>
      <x:c r="N407" s="83" t="str">
        <x:v>일부 구현은 확인되나 실장비 연동, Timeout/Alarm/Recovery, 저장·복원 또는 고객 수용시험 증빙이 부족</x:v>
      </x:c>
    </x:row>
    <x:row r="408" ht="42" customHeight="1">
      <x:c r="A408" s="83" t="str">
        <x:v>SS-008</x:v>
      </x:c>
      <x:c r="B408" s="83" t="str">
        <x:v>운영 환경 설정</x:v>
      </x:c>
      <x:c r="C408" s="83" t="n">
        <x:v>10</x:v>
      </x:c>
      <x:c r="D408" s="83" t="str">
        <x:v>UI</x:v>
      </x:c>
      <x:c r="E408" s="83" t="str">
        <x:v>Config 화면 - 파일 관리 구현</x:v>
      </x:c>
      <x:c r="F408" s="83" t="str">
        <x:v>01-06</x:v>
      </x:c>
      <x:c r="G408" s="83" t="str">
        <x:v>품질·보안·성능 Baseline</x:v>
      </x:c>
      <x:c r="H408" s="83" t="str">
        <x:v>E-UI-SETTING</x:v>
      </x:c>
      <x:c r="I408" s="83" t="str">
        <x:v>Drilling.UI/Menu/Menus/CMenuSetting.cs</x:v>
      </x:c>
      <x:c r="J408" s="83" t="str">
        <x:v>CMenuSetting</x:v>
      </x:c>
      <x:c r="K408" s="83" t="str">
        <x:v>ConnectInterface</x:v>
      </x:c>
      <x:c r="L408" s="83" t="str">
        <x:v>부분 반영</x:v>
      </x:c>
      <x:c r="M408" s="84" t="n">
        <x:v>0.84</x:v>
      </x:c>
      <x:c r="N408" s="83" t="str">
        <x:v>일부 구현은 확인되나 실장비 연동, Timeout/Alarm/Recovery, 저장·복원 또는 고객 수용시험 증빙이 부족</x:v>
      </x:c>
    </x:row>
    <x:row r="409" ht="42" customHeight="1">
      <x:c r="A409" s="83" t="str">
        <x:v>SS-008</x:v>
      </x:c>
      <x:c r="B409" s="83" t="str">
        <x:v>운영 환경 설정</x:v>
      </x:c>
      <x:c r="C409" s="83" t="n">
        <x:v>10</x:v>
      </x:c>
      <x:c r="D409" s="83" t="str">
        <x:v>UI</x:v>
      </x:c>
      <x:c r="E409" s="83" t="str">
        <x:v>Config 화면 - 파일 관리 구현</x:v>
      </x:c>
      <x:c r="F409" s="83" t="str">
        <x:v>02-04</x:v>
      </x:c>
      <x:c r="G409" s="83" t="str">
        <x:v>Setting·Alarm·History 화면</x:v>
      </x:c>
      <x:c r="H409" s="83" t="str">
        <x:v>E-UI-SETTING</x:v>
      </x:c>
      <x:c r="I409" s="83" t="str">
        <x:v>Drilling.UI/Menu/Menus/CMenuSetting.cs</x:v>
      </x:c>
      <x:c r="J409" s="83" t="str">
        <x:v>CMenuSetting</x:v>
      </x:c>
      <x:c r="K409" s="83" t="str">
        <x:v>ConnectInterface</x:v>
      </x:c>
      <x:c r="L409" s="83" t="str">
        <x:v>부분 반영</x:v>
      </x:c>
      <x:c r="M409" s="84" t="n">
        <x:v>0.84</x:v>
      </x:c>
      <x:c r="N409" s="83" t="str">
        <x:v>일부 구현은 확인되나 실장비 연동, Timeout/Alarm/Recovery, 저장·복원 또는 고객 수용시험 증빙이 부족</x:v>
      </x:c>
    </x:row>
    <x:row r="410" ht="42" customHeight="1">
      <x:c r="A410" s="83" t="str">
        <x:v>SS-008</x:v>
      </x:c>
      <x:c r="B410" s="83" t="str">
        <x:v>운영 환경 설정</x:v>
      </x:c>
      <x:c r="C410" s="83" t="n">
        <x:v>10</x:v>
      </x:c>
      <x:c r="D410" s="83" t="str">
        <x:v>UI</x:v>
      </x:c>
      <x:c r="E410" s="83" t="str">
        <x:v>Config 화면 - 파일 관리 구현</x:v>
      </x:c>
      <x:c r="F410" s="83" t="str">
        <x:v>10-04</x:v>
      </x:c>
      <x:c r="G410" s="83" t="str">
        <x:v>설정 무결성·복구</x:v>
      </x:c>
      <x:c r="H410" s="83" t="str">
        <x:v>E-UI-SETTING</x:v>
      </x:c>
      <x:c r="I410" s="83" t="str">
        <x:v>Drilling.UI/Menu/Menus/CMenuSetting.cs</x:v>
      </x:c>
      <x:c r="J410" s="83" t="str">
        <x:v>CMenuSetting</x:v>
      </x:c>
      <x:c r="K410" s="83" t="str">
        <x:v>ConnectInterface</x:v>
      </x:c>
      <x:c r="L410" s="83" t="str">
        <x:v>부분 반영</x:v>
      </x:c>
      <x:c r="M410" s="84" t="n">
        <x:v>0.84</x:v>
      </x:c>
      <x:c r="N410" s="83" t="str">
        <x:v>일부 구현은 확인되나 실장비 연동, Timeout/Alarm/Recovery, 저장·복원 또는 고객 수용시험 증빙이 부족</x:v>
      </x:c>
    </x:row>
    <x:row r="411" ht="42" customHeight="1">
      <x:c r="A411" s="83" t="str">
        <x:v>SS-008</x:v>
      </x:c>
      <x:c r="B411" s="83" t="str">
        <x:v>운영 환경 설정</x:v>
      </x:c>
      <x:c r="C411" s="83" t="n">
        <x:v>11</x:v>
      </x:c>
      <x:c r="D411" s="83" t="str">
        <x:v>UI</x:v>
      </x:c>
      <x:c r="E411" s="83" t="str">
        <x:v>Config 화면 - Parameter 관리 화면 구현</x:v>
      </x:c>
      <x:c r="F411" s="83" t="str">
        <x:v>01-06</x:v>
      </x:c>
      <x:c r="G411" s="83" t="str">
        <x:v>품질·보안·성능 Baseline</x:v>
      </x:c>
      <x:c r="H411" s="83" t="str">
        <x:v>E-UI-SETTING</x:v>
      </x:c>
      <x:c r="I411" s="83" t="str">
        <x:v>Drilling.UI/Menu/Menus/CMenuSetting.cs</x:v>
      </x:c>
      <x:c r="J411" s="83" t="str">
        <x:v>CMenuSetting</x:v>
      </x:c>
      <x:c r="K411" s="83" t="str">
        <x:v>ConnectInterface</x:v>
      </x:c>
      <x:c r="L411" s="83" t="str">
        <x:v>부분 반영</x:v>
      </x:c>
      <x:c r="M411" s="84" t="n">
        <x:v>0.84</x:v>
      </x:c>
      <x:c r="N411" s="83" t="str">
        <x:v>일부 구현은 확인되나 실장비 연동, Timeout/Alarm/Recovery, 저장·복원 또는 고객 수용시험 증빙이 부족</x:v>
      </x:c>
    </x:row>
    <x:row r="412" ht="42" customHeight="1">
      <x:c r="A412" s="83" t="str">
        <x:v>SS-008</x:v>
      </x:c>
      <x:c r="B412" s="83" t="str">
        <x:v>운영 환경 설정</x:v>
      </x:c>
      <x:c r="C412" s="83" t="n">
        <x:v>11</x:v>
      </x:c>
      <x:c r="D412" s="83" t="str">
        <x:v>UI</x:v>
      </x:c>
      <x:c r="E412" s="83" t="str">
        <x:v>Config 화면 - Parameter 관리 화면 구현</x:v>
      </x:c>
      <x:c r="F412" s="83" t="str">
        <x:v>02-04</x:v>
      </x:c>
      <x:c r="G412" s="83" t="str">
        <x:v>Setting·Alarm·History 화면</x:v>
      </x:c>
      <x:c r="H412" s="83" t="str">
        <x:v>E-UI-SETTING</x:v>
      </x:c>
      <x:c r="I412" s="83" t="str">
        <x:v>Drilling.UI/Menu/Menus/CMenuSetting.cs</x:v>
      </x:c>
      <x:c r="J412" s="83" t="str">
        <x:v>CMenuSetting</x:v>
      </x:c>
      <x:c r="K412" s="83" t="str">
        <x:v>ConnectInterface</x:v>
      </x:c>
      <x:c r="L412" s="83" t="str">
        <x:v>부분 반영</x:v>
      </x:c>
      <x:c r="M412" s="84" t="n">
        <x:v>0.84</x:v>
      </x:c>
      <x:c r="N412" s="83" t="str">
        <x:v>일부 구현은 확인되나 실장비 연동, Timeout/Alarm/Recovery, 저장·복원 또는 고객 수용시험 증빙이 부족</x:v>
      </x:c>
    </x:row>
    <x:row r="413" ht="42" customHeight="1">
      <x:c r="A413" s="83" t="str">
        <x:v>SS-008</x:v>
      </x:c>
      <x:c r="B413" s="83" t="str">
        <x:v>운영 환경 설정</x:v>
      </x:c>
      <x:c r="C413" s="83" t="n">
        <x:v>11</x:v>
      </x:c>
      <x:c r="D413" s="83" t="str">
        <x:v>UI</x:v>
      </x:c>
      <x:c r="E413" s="83" t="str">
        <x:v>Config 화면 - Parameter 관리 화면 구현</x:v>
      </x:c>
      <x:c r="F413" s="83" t="str">
        <x:v>10-04</x:v>
      </x:c>
      <x:c r="G413" s="83" t="str">
        <x:v>설정 무결성·복구</x:v>
      </x:c>
      <x:c r="H413" s="83" t="str">
        <x:v>E-UI-SETTING</x:v>
      </x:c>
      <x:c r="I413" s="83" t="str">
        <x:v>Drilling.UI/Menu/Menus/CMenuSetting.cs</x:v>
      </x:c>
      <x:c r="J413" s="83" t="str">
        <x:v>CMenuSetting</x:v>
      </x:c>
      <x:c r="K413" s="83" t="str">
        <x:v>ConnectInterface</x:v>
      </x:c>
      <x:c r="L413" s="83" t="str">
        <x:v>부분 반영</x:v>
      </x:c>
      <x:c r="M413" s="84" t="n">
        <x:v>0.84</x:v>
      </x:c>
      <x:c r="N413" s="83" t="str">
        <x:v>일부 구현은 확인되나 실장비 연동, Timeout/Alarm/Recovery, 저장·복원 또는 고객 수용시험 증빙이 부족</x:v>
      </x:c>
    </x:row>
    <x:row r="414" ht="42" customHeight="1">
      <x:c r="A414" s="83" t="str">
        <x:v>SS-008</x:v>
      </x:c>
      <x:c r="B414" s="83" t="str">
        <x:v>운영 환경 설정</x:v>
      </x:c>
      <x:c r="C414" s="83" t="n">
        <x:v>41</x:v>
      </x:c>
      <x:c r="D414" s="83" t="str">
        <x:v>File/Data</x:v>
      </x:c>
      <x:c r="E414" s="83" t="str">
        <x:v>JHMI_SETTING Config 항목 구조 확정</x:v>
      </x:c>
      <x:c r="F414" s="83" t="str">
        <x:v>01-06</x:v>
      </x:c>
      <x:c r="G414" s="83" t="str">
        <x:v>품질·보안·성능 Baseline</x:v>
      </x:c>
      <x:c r="H414" s="83" t="str">
        <x:v>E-SETTING-FILE</x:v>
      </x:c>
      <x:c r="I414" s="83" t="str">
        <x:v>Drilling.File/JHMI/CSettingFile.cs</x:v>
      </x:c>
      <x:c r="J414" s="83" t="str">
        <x:v>CSettingFile</x:v>
      </x:c>
      <x:c r="K414" s="83" t="str">
        <x:v>Save</x:v>
      </x:c>
      <x:c r="L414" s="83" t="str">
        <x:v>부분 반영</x:v>
      </x:c>
      <x:c r="M414" s="84" t="n">
        <x:v>0.84</x:v>
      </x:c>
      <x:c r="N414" s="83" t="str">
        <x:v>일부 구현은 확인되나 실장비 연동, Timeout/Alarm/Recovery, 저장·복원 또는 고객 수용시험 증빙이 부족</x:v>
      </x:c>
    </x:row>
    <x:row r="415" ht="42" customHeight="1">
      <x:c r="A415" s="83" t="str">
        <x:v>SS-008</x:v>
      </x:c>
      <x:c r="B415" s="83" t="str">
        <x:v>운영 환경 설정</x:v>
      </x:c>
      <x:c r="C415" s="83" t="n">
        <x:v>41</x:v>
      </x:c>
      <x:c r="D415" s="83" t="str">
        <x:v>File/Data</x:v>
      </x:c>
      <x:c r="E415" s="83" t="str">
        <x:v>JHMI_SETTING Config 항목 구조 확정</x:v>
      </x:c>
      <x:c r="F415" s="83" t="str">
        <x:v>02-04</x:v>
      </x:c>
      <x:c r="G415" s="83" t="str">
        <x:v>Setting·Alarm·History 화면</x:v>
      </x:c>
      <x:c r="H415" s="83" t="str">
        <x:v>E-SETTING-FILE</x:v>
      </x:c>
      <x:c r="I415" s="83" t="str">
        <x:v>Drilling.File/JHMI/CSettingFile.cs</x:v>
      </x:c>
      <x:c r="J415" s="83" t="str">
        <x:v>CSettingFile</x:v>
      </x:c>
      <x:c r="K415" s="83" t="str">
        <x:v>Save</x:v>
      </x:c>
      <x:c r="L415" s="83" t="str">
        <x:v>부분 반영</x:v>
      </x:c>
      <x:c r="M415" s="84" t="n">
        <x:v>0.84</x:v>
      </x:c>
      <x:c r="N415" s="83" t="str">
        <x:v>일부 구현은 확인되나 실장비 연동, Timeout/Alarm/Recovery, 저장·복원 또는 고객 수용시험 증빙이 부족</x:v>
      </x:c>
    </x:row>
    <x:row r="416" ht="42" customHeight="1">
      <x:c r="A416" s="83" t="str">
        <x:v>SS-008</x:v>
      </x:c>
      <x:c r="B416" s="83" t="str">
        <x:v>운영 환경 설정</x:v>
      </x:c>
      <x:c r="C416" s="83" t="n">
        <x:v>41</x:v>
      </x:c>
      <x:c r="D416" s="83" t="str">
        <x:v>File/Data</x:v>
      </x:c>
      <x:c r="E416" s="83" t="str">
        <x:v>JHMI_SETTING Config 항목 구조 확정</x:v>
      </x:c>
      <x:c r="F416" s="83" t="str">
        <x:v>10-04</x:v>
      </x:c>
      <x:c r="G416" s="83" t="str">
        <x:v>설정 무결성·복구</x:v>
      </x:c>
      <x:c r="H416" s="83" t="str">
        <x:v>E-SETTING-FILE</x:v>
      </x:c>
      <x:c r="I416" s="83" t="str">
        <x:v>Drilling.File/JHMI/CSettingFile.cs</x:v>
      </x:c>
      <x:c r="J416" s="83" t="str">
        <x:v>CSettingFile</x:v>
      </x:c>
      <x:c r="K416" s="83" t="str">
        <x:v>Save</x:v>
      </x:c>
      <x:c r="L416" s="83" t="str">
        <x:v>부분 반영</x:v>
      </x:c>
      <x:c r="M416" s="84" t="n">
        <x:v>0.84</x:v>
      </x:c>
      <x:c r="N416" s="83" t="str">
        <x:v>일부 구현은 확인되나 실장비 연동, Timeout/Alarm/Recovery, 저장·복원 또는 고객 수용시험 증빙이 부족</x:v>
      </x:c>
    </x:row>
    <x:row r="417" ht="42" customHeight="1">
      <x:c r="A417" s="83" t="str">
        <x:v>SS-008</x:v>
      </x:c>
      <x:c r="B417" s="83" t="str">
        <x:v>운영 환경 설정</x:v>
      </x:c>
      <x:c r="C417" s="83" t="n">
        <x:v>63</x:v>
      </x:c>
      <x:c r="D417" s="83" t="str">
        <x:v>Alarm</x:v>
      </x:c>
      <x:c r="E417" s="83" t="str">
        <x:v>Interlock List 정리</x:v>
      </x:c>
      <x:c r="F417" s="83" t="str">
        <x:v>01-06</x:v>
      </x:c>
      <x:c r="G417" s="83" t="str">
        <x:v>품질·보안·성능 Baseline</x:v>
      </x:c>
      <x:c r="H417" s="83" t="str">
        <x:v>E-INTERLOCK</x:v>
      </x:c>
      <x:c r="I417" s="83" t="str">
        <x:v>Drilling.Common/InterLock/CInterLockManager.cs</x:v>
      </x:c>
      <x:c r="J417" s="83" t="str">
        <x:v>CInterLockManager</x:v>
      </x:c>
      <x:c r="K417" s="83" t="str">
        <x:v>Evaluate</x:v>
      </x:c>
      <x:c r="L417" s="83" t="str">
        <x:v>부분 반영</x:v>
      </x:c>
      <x:c r="M417" s="84" t="n">
        <x:v>0.84</x:v>
      </x:c>
      <x:c r="N417" s="83" t="str">
        <x:v>일부 구현은 확인되나 실장비 연동, Timeout/Alarm/Recovery, 저장·복원 또는 고객 수용시험 증빙이 부족</x:v>
      </x:c>
    </x:row>
    <x:row r="418" ht="42" customHeight="1">
      <x:c r="A418" s="83" t="str">
        <x:v>SS-008</x:v>
      </x:c>
      <x:c r="B418" s="83" t="str">
        <x:v>운영 환경 설정</x:v>
      </x:c>
      <x:c r="C418" s="83" t="n">
        <x:v>63</x:v>
      </x:c>
      <x:c r="D418" s="83" t="str">
        <x:v>Alarm</x:v>
      </x:c>
      <x:c r="E418" s="83" t="str">
        <x:v>Interlock List 정리</x:v>
      </x:c>
      <x:c r="F418" s="83" t="str">
        <x:v>02-04</x:v>
      </x:c>
      <x:c r="G418" s="83" t="str">
        <x:v>Setting·Alarm·History 화면</x:v>
      </x:c>
      <x:c r="H418" s="83" t="str">
        <x:v>E-INTERLOCK</x:v>
      </x:c>
      <x:c r="I418" s="83" t="str">
        <x:v>Drilling.Common/InterLock/CInterLockManager.cs</x:v>
      </x:c>
      <x:c r="J418" s="83" t="str">
        <x:v>CInterLockManager</x:v>
      </x:c>
      <x:c r="K418" s="83" t="str">
        <x:v>Evaluate</x:v>
      </x:c>
      <x:c r="L418" s="83" t="str">
        <x:v>부분 반영</x:v>
      </x:c>
      <x:c r="M418" s="84" t="n">
        <x:v>0.84</x:v>
      </x:c>
      <x:c r="N418" s="83" t="str">
        <x:v>일부 구현은 확인되나 실장비 연동, Timeout/Alarm/Recovery, 저장·복원 또는 고객 수용시험 증빙이 부족</x:v>
      </x:c>
    </x:row>
    <x:row r="419" ht="42" customHeight="1">
      <x:c r="A419" s="83" t="str">
        <x:v>SS-008</x:v>
      </x:c>
      <x:c r="B419" s="83" t="str">
        <x:v>운영 환경 설정</x:v>
      </x:c>
      <x:c r="C419" s="83" t="n">
        <x:v>63</x:v>
      </x:c>
      <x:c r="D419" s="83" t="str">
        <x:v>Alarm</x:v>
      </x:c>
      <x:c r="E419" s="83" t="str">
        <x:v>Interlock List 정리</x:v>
      </x:c>
      <x:c r="F419" s="83" t="str">
        <x:v>10-04</x:v>
      </x:c>
      <x:c r="G419" s="83" t="str">
        <x:v>설정 무결성·복구</x:v>
      </x:c>
      <x:c r="H419" s="83" t="str">
        <x:v>E-INTERLOCK</x:v>
      </x:c>
      <x:c r="I419" s="83" t="str">
        <x:v>Drilling.Common/InterLock/CInterLockManager.cs</x:v>
      </x:c>
      <x:c r="J419" s="83" t="str">
        <x:v>CInterLockManager</x:v>
      </x:c>
      <x:c r="K419" s="83" t="str">
        <x:v>Evaluate</x:v>
      </x:c>
      <x:c r="L419" s="83" t="str">
        <x:v>부분 반영</x:v>
      </x:c>
      <x:c r="M419" s="84" t="n">
        <x:v>0.84</x:v>
      </x:c>
      <x:c r="N419" s="83" t="str">
        <x:v>일부 구현은 확인되나 실장비 연동, Timeout/Alarm/Recovery, 저장·복원 또는 고객 수용시험 증빙이 부족</x:v>
      </x:c>
    </x:row>
    <x:row r="420" ht="42" customHeight="1">
      <x:c r="A420" s="83" t="str">
        <x:v>SS-008</x:v>
      </x:c>
      <x:c r="B420" s="83" t="str">
        <x:v>운영 환경 설정</x:v>
      </x:c>
      <x:c r="C420" s="83" t="n">
        <x:v>100</x:v>
      </x:c>
      <x:c r="D420" s="83" t="str">
        <x:v>기능</x:v>
      </x:c>
      <x:c r="E420" s="83" t="str">
        <x:v>Config Parameter - 목록 확정</x:v>
      </x:c>
      <x:c r="F420" s="83" t="str">
        <x:v>01-06</x:v>
      </x:c>
      <x:c r="G420" s="83" t="str">
        <x:v>품질·보안·성능 Baseline</x:v>
      </x:c>
      <x:c r="H420" s="83" t="str">
        <x:v>E-SETTING-FILE</x:v>
      </x:c>
      <x:c r="I420" s="83" t="str">
        <x:v>Drilling.File/JHMI/CSettingFile.cs</x:v>
      </x:c>
      <x:c r="J420" s="83" t="str">
        <x:v>CSettingFile</x:v>
      </x:c>
      <x:c r="K420" s="83" t="str">
        <x:v>Save</x:v>
      </x:c>
      <x:c r="L420" s="83" t="str">
        <x:v>부분 반영</x:v>
      </x:c>
      <x:c r="M420" s="84" t="n">
        <x:v>0.84</x:v>
      </x:c>
      <x:c r="N420" s="83" t="str">
        <x:v>일부 구현은 확인되나 실장비 연동, Timeout/Alarm/Recovery, 저장·복원 또는 고객 수용시험 증빙이 부족</x:v>
      </x:c>
    </x:row>
    <x:row r="421" ht="42" customHeight="1">
      <x:c r="A421" s="83" t="str">
        <x:v>SS-008</x:v>
      </x:c>
      <x:c r="B421" s="83" t="str">
        <x:v>운영 환경 설정</x:v>
      </x:c>
      <x:c r="C421" s="83" t="n">
        <x:v>100</x:v>
      </x:c>
      <x:c r="D421" s="83" t="str">
        <x:v>기능</x:v>
      </x:c>
      <x:c r="E421" s="83" t="str">
        <x:v>Config Parameter - 목록 확정</x:v>
      </x:c>
      <x:c r="F421" s="83" t="str">
        <x:v>02-04</x:v>
      </x:c>
      <x:c r="G421" s="83" t="str">
        <x:v>Setting·Alarm·History 화면</x:v>
      </x:c>
      <x:c r="H421" s="83" t="str">
        <x:v>E-SETTING-FILE</x:v>
      </x:c>
      <x:c r="I421" s="83" t="str">
        <x:v>Drilling.File/JHMI/CSettingFile.cs</x:v>
      </x:c>
      <x:c r="J421" s="83" t="str">
        <x:v>CSettingFile</x:v>
      </x:c>
      <x:c r="K421" s="83" t="str">
        <x:v>Save</x:v>
      </x:c>
      <x:c r="L421" s="83" t="str">
        <x:v>부분 반영</x:v>
      </x:c>
      <x:c r="M421" s="84" t="n">
        <x:v>0.84</x:v>
      </x:c>
      <x:c r="N421" s="83" t="str">
        <x:v>일부 구현은 확인되나 실장비 연동, Timeout/Alarm/Recovery, 저장·복원 또는 고객 수용시험 증빙이 부족</x:v>
      </x:c>
    </x:row>
    <x:row r="422" ht="42" customHeight="1">
      <x:c r="A422" s="83" t="str">
        <x:v>SS-008</x:v>
      </x:c>
      <x:c r="B422" s="83" t="str">
        <x:v>운영 환경 설정</x:v>
      </x:c>
      <x:c r="C422" s="83" t="n">
        <x:v>100</x:v>
      </x:c>
      <x:c r="D422" s="83" t="str">
        <x:v>기능</x:v>
      </x:c>
      <x:c r="E422" s="83" t="str">
        <x:v>Config Parameter - 목록 확정</x:v>
      </x:c>
      <x:c r="F422" s="83" t="str">
        <x:v>10-04</x:v>
      </x:c>
      <x:c r="G422" s="83" t="str">
        <x:v>설정 무결성·복구</x:v>
      </x:c>
      <x:c r="H422" s="83" t="str">
        <x:v>E-SETTING-FILE</x:v>
      </x:c>
      <x:c r="I422" s="83" t="str">
        <x:v>Drilling.File/JHMI/CSettingFile.cs</x:v>
      </x:c>
      <x:c r="J422" s="83" t="str">
        <x:v>CSettingFile</x:v>
      </x:c>
      <x:c r="K422" s="83" t="str">
        <x:v>Save</x:v>
      </x:c>
      <x:c r="L422" s="83" t="str">
        <x:v>부분 반영</x:v>
      </x:c>
      <x:c r="M422" s="84" t="n">
        <x:v>0.84</x:v>
      </x:c>
      <x:c r="N422" s="83" t="str">
        <x:v>일부 구현은 확인되나 실장비 연동, Timeout/Alarm/Recovery, 저장·복원 또는 고객 수용시험 증빙이 부족</x:v>
      </x:c>
    </x:row>
    <x:row r="423" ht="42" customHeight="1">
      <x:c r="A423" s="83" t="str">
        <x:v>SS-008</x:v>
      </x:c>
      <x:c r="B423" s="83" t="str">
        <x:v>운영 환경 설정</x:v>
      </x:c>
      <x:c r="C423" s="83" t="n">
        <x:v>101</x:v>
      </x:c>
      <x:c r="D423" s="83" t="str">
        <x:v>기능</x:v>
      </x:c>
      <x:c r="E423" s="83" t="str">
        <x:v>Config Parameter 수정·저장 기능 구현</x:v>
      </x:c>
      <x:c r="F423" s="83" t="str">
        <x:v>01-06</x:v>
      </x:c>
      <x:c r="G423" s="83" t="str">
        <x:v>품질·보안·성능 Baseline</x:v>
      </x:c>
      <x:c r="H423" s="83" t="str">
        <x:v>E-SETTING-FILE</x:v>
      </x:c>
      <x:c r="I423" s="83" t="str">
        <x:v>Drilling.File/JHMI/CSettingFile.cs</x:v>
      </x:c>
      <x:c r="J423" s="83" t="str">
        <x:v>CSettingFile</x:v>
      </x:c>
      <x:c r="K423" s="83" t="str">
        <x:v>Save</x:v>
      </x:c>
      <x:c r="L423" s="83" t="str">
        <x:v>부분 반영</x:v>
      </x:c>
      <x:c r="M423" s="84" t="n">
        <x:v>0.84</x:v>
      </x:c>
      <x:c r="N423" s="83" t="str">
        <x:v>일부 구현은 확인되나 실장비 연동, Timeout/Alarm/Recovery, 저장·복원 또는 고객 수용시험 증빙이 부족</x:v>
      </x:c>
    </x:row>
    <x:row r="424" ht="42" customHeight="1">
      <x:c r="A424" s="83" t="str">
        <x:v>SS-008</x:v>
      </x:c>
      <x:c r="B424" s="83" t="str">
        <x:v>운영 환경 설정</x:v>
      </x:c>
      <x:c r="C424" s="83" t="n">
        <x:v>101</x:v>
      </x:c>
      <x:c r="D424" s="83" t="str">
        <x:v>기능</x:v>
      </x:c>
      <x:c r="E424" s="83" t="str">
        <x:v>Config Parameter 수정·저장 기능 구현</x:v>
      </x:c>
      <x:c r="F424" s="83" t="str">
        <x:v>02-04</x:v>
      </x:c>
      <x:c r="G424" s="83" t="str">
        <x:v>Setting·Alarm·History 화면</x:v>
      </x:c>
      <x:c r="H424" s="83" t="str">
        <x:v>E-SETTING-FILE</x:v>
      </x:c>
      <x:c r="I424" s="83" t="str">
        <x:v>Drilling.File/JHMI/CSettingFile.cs</x:v>
      </x:c>
      <x:c r="J424" s="83" t="str">
        <x:v>CSettingFile</x:v>
      </x:c>
      <x:c r="K424" s="83" t="str">
        <x:v>Save</x:v>
      </x:c>
      <x:c r="L424" s="83" t="str">
        <x:v>부분 반영</x:v>
      </x:c>
      <x:c r="M424" s="84" t="n">
        <x:v>0.84</x:v>
      </x:c>
      <x:c r="N424" s="83" t="str">
        <x:v>일부 구현은 확인되나 실장비 연동, Timeout/Alarm/Recovery, 저장·복원 또는 고객 수용시험 증빙이 부족</x:v>
      </x:c>
    </x:row>
    <x:row r="425" ht="42" customHeight="1">
      <x:c r="A425" s="83" t="str">
        <x:v>SS-008</x:v>
      </x:c>
      <x:c r="B425" s="83" t="str">
        <x:v>운영 환경 설정</x:v>
      </x:c>
      <x:c r="C425" s="83" t="n">
        <x:v>101</x:v>
      </x:c>
      <x:c r="D425" s="83" t="str">
        <x:v>기능</x:v>
      </x:c>
      <x:c r="E425" s="83" t="str">
        <x:v>Config Parameter 수정·저장 기능 구현</x:v>
      </x:c>
      <x:c r="F425" s="83" t="str">
        <x:v>10-04</x:v>
      </x:c>
      <x:c r="G425" s="83" t="str">
        <x:v>설정 무결성·복구</x:v>
      </x:c>
      <x:c r="H425" s="83" t="str">
        <x:v>E-SETTING-FILE</x:v>
      </x:c>
      <x:c r="I425" s="83" t="str">
        <x:v>Drilling.File/JHMI/CSettingFile.cs</x:v>
      </x:c>
      <x:c r="J425" s="83" t="str">
        <x:v>CSettingFile</x:v>
      </x:c>
      <x:c r="K425" s="83" t="str">
        <x:v>Save</x:v>
      </x:c>
      <x:c r="L425" s="83" t="str">
        <x:v>부분 반영</x:v>
      </x:c>
      <x:c r="M425" s="84" t="n">
        <x:v>0.84</x:v>
      </x:c>
      <x:c r="N425" s="83" t="str">
        <x:v>일부 구현은 확인되나 실장비 연동, Timeout/Alarm/Recovery, 저장·복원 또는 고객 수용시험 증빙이 부족</x:v>
      </x:c>
    </x:row>
  </x:sheetData>
  <x:mergeCells>
    <x:mergeCell ref="A1:N1"/>
    <x:mergeCell ref="A2:N2"/>
  </x:mergeCells>
  <x:conditionalFormatting sqref="L6:L425">
    <x:cfRule type="containsText" dxfId="12" priority="1" operator="containsText" text="완전 반영"/>
    <x:cfRule type="containsText" dxfId="13" priority="2" operator="containsText" text="부분 반영"/>
    <x:cfRule type="containsText" dxfId="14" priority="3" operator="containsText" text="유사하나 불충분"/>
    <x:cfRule type="containsText" dxfId="15" priority="4" operator="containsText" text="미반영"/>
    <x:cfRule type="containsText" dxfId="16" priority="5" operator="containsText" text="확인 불가"/>
  </x:conditionalFormatting>
  <x:pageMargins left="0.7" right="0.7" top="0.75" bottom="0.75" header="0.3" footer="0.3"/>
  <x:tableParts count="1">
    <x:tablePart xmlns:r="http://schemas.openxmlformats.org/officeDocument/2006/relationships" r:id="Rd01aededa9984f3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5" ySplit="5" topLeftCell="F6" activePane="bottomRight" state="frozen"/>
      <x:selection pane="bottomRight" activeCell="F6" sqref="F6"/>
    </x:sheetView>
  </x:sheetViews>
  <x:sheetFormatPr defaultRowHeight="15"/>
  <x:cols>
    <x:col min="1" max="1" width="18" hidden="0" customWidth="1"/>
    <x:col min="2" max="2" width="34" hidden="0" customWidth="1"/>
    <x:col min="3" max="3" width="10" hidden="0" customWidth="1"/>
    <x:col min="4" max="4" width="42" hidden="0" customWidth="1"/>
    <x:col min="5" max="5" width="20" hidden="0" customWidth="1"/>
    <x:col min="6" max="6" width="52" hidden="0" customWidth="1"/>
    <x:col min="7" max="7" width="8" hidden="0" customWidth="1"/>
    <x:col min="8" max="8" width="24" hidden="0" customWidth="1"/>
    <x:col min="9" max="9" width="26" hidden="0" customWidth="1"/>
    <x:col min="10" max="10" width="22" hidden="0" customWidth="1"/>
    <x:col min="11" max="11" width="12" hidden="0" customWidth="1"/>
    <x:col min="12" max="12" width="48" hidden="0" customWidth="1"/>
    <x:col min="13" max="13" width="48" hidden="0" customWidth="1"/>
    <x:col min="14" max="14" width="42" hidden="0" customWidth="1"/>
    <x:col min="15" max="15" width="14" hidden="0" customWidth="1"/>
  </x:cols>
  <x:sheetData>
    <x:row r="1" ht="30" customHeight="1">
      <x:c r="A1" s="62" t="str">
        <x:v>04 Git 코드 검증 근거</x:v>
      </x:c>
      <x:c r="B1" s="63"/>
      <x:c r="C1" s="63"/>
      <x:c r="D1" s="63"/>
      <x:c r="E1" s="63"/>
      <x:c r="F1" s="63"/>
      <x:c r="G1" s="63"/>
      <x:c r="H1" s="63"/>
      <x:c r="I1" s="63"/>
      <x:c r="J1" s="63"/>
      <x:c r="K1" s="63"/>
      <x:c r="L1" s="63"/>
      <x:c r="M1" s="63"/>
      <x:c r="N1" s="63"/>
      <x:c r="O1" s="64"/>
    </x:row>
    <x:row r="2" ht="26" customHeight="1">
      <x:c r="A2" s="67" t="str">
        <x:v>https://github.com/kjuws10-rgb/A3_LD_Process_SW_IPS.git | main | 18aee2812adbad6f682bb59ff85180340a91f543 | 2026-08-14T09:35:37+09:00</x:v>
      </x:c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</x:row>
    <x:row r="5" ht="30" customHeight="1">
      <x:c r="A5" s="16" t="str">
        <x:v>근거 ID</x:v>
      </x:c>
      <x:c r="B5" s="16" t="str">
        <x:v>Repository</x:v>
      </x:c>
      <x:c r="C5" s="16" t="str">
        <x:v>Branch</x:v>
      </x:c>
      <x:c r="D5" s="16" t="str">
        <x:v>Commit SHA</x:v>
      </x:c>
      <x:c r="E5" s="16" t="str">
        <x:v>Project</x:v>
      </x:c>
      <x:c r="F5" s="16" t="str">
        <x:v>파일 경로</x:v>
      </x:c>
      <x:c r="G5" s="16" t="str">
        <x:v>Line</x:v>
      </x:c>
      <x:c r="H5" s="16" t="str">
        <x:v>클래스</x:v>
      </x:c>
      <x:c r="I5" s="16" t="str">
        <x:v>메서드/이벤트</x:v>
      </x:c>
      <x:c r="J5" s="16" t="str">
        <x:v>구현 판정</x:v>
      </x:c>
      <x:c r="K5" s="16" t="str">
        <x:v>코드검증률</x:v>
      </x:c>
      <x:c r="L5" s="16" t="str">
        <x:v>확인 근거</x:v>
      </x:c>
      <x:c r="M5" s="16" t="str">
        <x:v>제한사항</x:v>
      </x:c>
      <x:c r="N5" s="16" t="str">
        <x:v>Build/시험</x:v>
      </x:c>
      <x:c r="O5" s="16" t="str">
        <x:v>분석기준</x:v>
      </x:c>
    </x:row>
    <x:row r="6" ht="42" customHeight="1">
      <x:c r="A6" s="83" t="str">
        <x:v>E-UI-ROOT</x:v>
      </x:c>
      <x:c r="B6" s="83" t="str">
        <x:v>https://github.com/kjuws10-rgb/A3_LD_Process_SW_IPS.git</x:v>
      </x:c>
      <x:c r="C6" s="83" t="str">
        <x:v>main</x:v>
      </x:c>
      <x:c r="D6" s="83" t="str">
        <x:v>18aee2812adbad6f682bb59ff85180340a91f543</x:v>
      </x:c>
      <x:c r="E6" s="83" t="str">
        <x:v>Drilling.UI</x:v>
      </x:c>
      <x:c r="F6" s="83" t="str">
        <x:v>Drilling.UI/CRootView.cs</x:v>
      </x:c>
      <x:c r="G6" s="83" t="n">
        <x:v>122</x:v>
      </x:c>
      <x:c r="H6" s="83" t="str">
        <x:v>CRootView</x:v>
      </x:c>
      <x:c r="I6" s="83" t="str">
        <x:v>SelectMenu</x:v>
      </x:c>
      <x:c r="J6" s="83" t="str">
        <x:v>부분 구현</x:v>
      </x:c>
      <x:c r="K6" s="84" t="n">
        <x:v>0.78</x:v>
      </x:c>
      <x:c r="L6" s="83" t="str">
        <x:v>WPF Shell·메뉴 전환·상단 상태 바인딩 확인</x:v>
      </x:c>
      <x:c r="M6" s="83" t="str">
        <x:v>실장비 상태 갱신 주기와 장시간 UI 안정성 미검증</x:v>
      </x:c>
      <x:c r="N6" s="83" t="str">
        <x:v>Release Build PASS(0 warnings/0 errors); Core/WPF Regression PASS</x:v>
      </x:c>
      <x:c r="O6" s="83" t="str">
        <x:v>2026-08-17</x:v>
      </x:c>
    </x:row>
    <x:row r="7" ht="42" customHeight="1">
      <x:c r="A7" s="83" t="str">
        <x:v>E-UI-MAIN</x:v>
      </x:c>
      <x:c r="B7" s="83" t="str">
        <x:v>https://github.com/kjuws10-rgb/A3_LD_Process_SW_IPS.git</x:v>
      </x:c>
      <x:c r="C7" s="83" t="str">
        <x:v>main</x:v>
      </x:c>
      <x:c r="D7" s="83" t="str">
        <x:v>18aee2812adbad6f682bb59ff85180340a91f543</x:v>
      </x:c>
      <x:c r="E7" s="83" t="str">
        <x:v>Drilling.UI</x:v>
      </x:c>
      <x:c r="F7" s="83" t="str">
        <x:v>Drilling.UI/Menu/Menus/CMenuMain.cs</x:v>
      </x:c>
      <x:c r="G7" s="83" t="n">
        <x:v>690</x:v>
      </x:c>
      <x:c r="H7" s="83" t="str">
        <x:v>CMenuMain</x:v>
      </x:c>
      <x:c r="I7" s="83" t="str">
        <x:v>RefreshLiveStatus</x:v>
      </x:c>
      <x:c r="J7" s="83" t="str">
        <x:v>부분 구현</x:v>
      </x:c>
      <x:c r="K7" s="84" t="n">
        <x:v>0.8</x:v>
      </x:c>
      <x:c r="L7" s="83" t="str">
        <x:v>Sequence/Interlock/Preview/Optic 상태를 ViewModel로 구성</x:v>
      </x:c>
      <x:c r="M7" s="83" t="str">
        <x:v>장비 End-to-End 및 고객 수용시험 미수행</x:v>
      </x:c>
      <x:c r="N7" s="83" t="str">
        <x:v>Release Build PASS(0 warnings/0 errors); Core/WPF Regression PASS</x:v>
      </x:c>
      <x:c r="O7" s="83" t="str">
        <x:v>2026-08-17</x:v>
      </x:c>
    </x:row>
    <x:row r="8" ht="42" customHeight="1">
      <x:c r="A8" s="83" t="str">
        <x:v>E-UI-MANUAL</x:v>
      </x:c>
      <x:c r="B8" s="83" t="str">
        <x:v>https://github.com/kjuws10-rgb/A3_LD_Process_SW_IPS.git</x:v>
      </x:c>
      <x:c r="C8" s="83" t="str">
        <x:v>main</x:v>
      </x:c>
      <x:c r="D8" s="83" t="str">
        <x:v>18aee2812adbad6f682bb59ff85180340a91f543</x:v>
      </x:c>
      <x:c r="E8" s="83" t="str">
        <x:v>Drilling.UI</x:v>
      </x:c>
      <x:c r="F8" s="83" t="str">
        <x:v>Drilling.UI/Menu/Menus/CMenuManual.cs</x:v>
      </x:c>
      <x:c r="G8" s="83" t="n">
        <x:v>946</x:v>
      </x:c>
      <x:c r="H8" s="83" t="str">
        <x:v>CMenuManual</x:v>
      </x:c>
      <x:c r="I8" s="83" t="str">
        <x:v>ExecuteManualOperation</x:v>
      </x:c>
      <x:c r="J8" s="83" t="str">
        <x:v>부분 구현</x:v>
      </x:c>
      <x:c r="K8" s="84" t="n">
        <x:v>0.76</x:v>
      </x:c>
      <x:c r="L8" s="83" t="str">
        <x:v>Stage/Scanner/Vision 명령과 수동 패턴 Script 생성 로직 확인</x:v>
      </x:c>
      <x:c r="M8" s="83" t="str">
        <x:v>Stage/Vision 실장비 및 IOF/PtoP/TEG 동작 미검증</x:v>
      </x:c>
      <x:c r="N8" s="83" t="str">
        <x:v>Release Build PASS(0 warnings/0 errors); Core/WPF Regression PASS</x:v>
      </x:c>
      <x:c r="O8" s="83" t="str">
        <x:v>2026-08-17</x:v>
      </x:c>
    </x:row>
    <x:row r="9" ht="42" customHeight="1">
      <x:c r="A9" s="83" t="str">
        <x:v>E-UI-RECIPE</x:v>
      </x:c>
      <x:c r="B9" s="83" t="str">
        <x:v>https://github.com/kjuws10-rgb/A3_LD_Process_SW_IPS.git</x:v>
      </x:c>
      <x:c r="C9" s="83" t="str">
        <x:v>main</x:v>
      </x:c>
      <x:c r="D9" s="83" t="str">
        <x:v>18aee2812adbad6f682bb59ff85180340a91f543</x:v>
      </x:c>
      <x:c r="E9" s="83" t="str">
        <x:v>Drilling.UI</x:v>
      </x:c>
      <x:c r="F9" s="83" t="str">
        <x:v>Drilling.UI/Menu/Menus/CMenuRecipe.cs</x:v>
      </x:c>
      <x:c r="G9" s="83" t="n">
        <x:v>186</x:v>
      </x:c>
      <x:c r="H9" s="83" t="str">
        <x:v>CMenuRecipe</x:v>
      </x:c>
      <x:c r="I9" s="83" t="str">
        <x:v>Save()</x:v>
      </x:c>
      <x:c r="J9" s="83" t="str">
        <x:v>부분 구현</x:v>
      </x:c>
      <x:c r="K9" s="84" t="n">
        <x:v>0.84</x:v>
      </x:c>
      <x:c r="L9" s="83" t="str">
        <x:v>Recipe 생성·저장·삭제·이름변경과 파라미터 검증 확인</x:v>
      </x:c>
      <x:c r="M9" s="83" t="str">
        <x:v>복사 시 보정데이터 포함 옵션 및 PPID 매칭 UI 미확인</x:v>
      </x:c>
      <x:c r="N9" s="83" t="str">
        <x:v>Release Build PASS(0 warnings/0 errors); Core/WPF Regression PASS</x:v>
      </x:c>
      <x:c r="O9" s="83" t="str">
        <x:v>2026-08-17</x:v>
      </x:c>
    </x:row>
    <x:row r="10" ht="42" customHeight="1">
      <x:c r="A10" s="83" t="str">
        <x:v>E-UI-SETTING</x:v>
      </x:c>
      <x:c r="B10" s="83" t="str">
        <x:v>https://github.com/kjuws10-rgb/A3_LD_Process_SW_IPS.git</x:v>
      </x:c>
      <x:c r="C10" s="83" t="str">
        <x:v>main</x:v>
      </x:c>
      <x:c r="D10" s="83" t="str">
        <x:v>18aee2812adbad6f682bb59ff85180340a91f543</x:v>
      </x:c>
      <x:c r="E10" s="83" t="str">
        <x:v>Drilling.UI</x:v>
      </x:c>
      <x:c r="F10" s="83" t="str">
        <x:v>Drilling.UI/Menu/Menus/CMenuSetting.cs</x:v>
      </x:c>
      <x:c r="G10" s="83" t="n">
        <x:v>73</x:v>
      </x:c>
      <x:c r="H10" s="83" t="str">
        <x:v>CMenuSetting</x:v>
      </x:c>
      <x:c r="I10" s="83" t="str">
        <x:v>ConnectInterface</x:v>
      </x:c>
      <x:c r="J10" s="83" t="str">
        <x:v>부분 구현</x:v>
      </x:c>
      <x:c r="K10" s="84" t="n">
        <x:v>0.82</x:v>
      </x:c>
      <x:c r="L10" s="83" t="str">
        <x:v>설정 편집·저장·재로드·Interface 수동 연결/해제 확인</x:v>
      </x:c>
      <x:c r="M10" s="83" t="str">
        <x:v>백업/복구·보호윈도우 정책·현장 권한 검증 미완</x:v>
      </x:c>
      <x:c r="N10" s="83" t="str">
        <x:v>Release Build PASS(0 warnings/0 errors); Core/WPF Regression PASS</x:v>
      </x:c>
      <x:c r="O10" s="83" t="str">
        <x:v>2026-08-17</x:v>
      </x:c>
    </x:row>
    <x:row r="11" ht="42" customHeight="1">
      <x:c r="A11" s="83" t="str">
        <x:v>E-UI-ALARM</x:v>
      </x:c>
      <x:c r="B11" s="83" t="str">
        <x:v>https://github.com/kjuws10-rgb/A3_LD_Process_SW_IPS.git</x:v>
      </x:c>
      <x:c r="C11" s="83" t="str">
        <x:v>main</x:v>
      </x:c>
      <x:c r="D11" s="83" t="str">
        <x:v>18aee2812adbad6f682bb59ff85180340a91f543</x:v>
      </x:c>
      <x:c r="E11" s="83" t="str">
        <x:v>Drilling.UI</x:v>
      </x:c>
      <x:c r="F11" s="83" t="str">
        <x:v>Drilling.UI/Menu/Menus/CMenuAlarm.cs</x:v>
      </x:c>
      <x:c r="G11" s="83" t="n">
        <x:v>75</x:v>
      </x:c>
      <x:c r="H11" s="83" t="str">
        <x:v>CMenuAlarm</x:v>
      </x:c>
      <x:c r="I11" s="83" t="str">
        <x:v>Build</x:v>
      </x:c>
      <x:c r="J11" s="83" t="str">
        <x:v>부분 구현</x:v>
      </x:c>
      <x:c r="K11" s="84" t="n">
        <x:v>0.68</x:v>
      </x:c>
      <x:c r="L11" s="83" t="str">
        <x:v>Current Alarm/History/Trend/Recovery 표시 모델 확인</x:v>
      </x:c>
      <x:c r="M11" s="83" t="str">
        <x:v>실장비 Alarm Reset 및 복구 시나리오 미검증</x:v>
      </x:c>
      <x:c r="N11" s="83" t="str">
        <x:v>Release Build PASS(0 warnings/0 errors); Core/WPF Regression PASS</x:v>
      </x:c>
      <x:c r="O11" s="83" t="str">
        <x:v>2026-08-17</x:v>
      </x:c>
    </x:row>
    <x:row r="12" ht="42" customHeight="1">
      <x:c r="A12" s="83" t="str">
        <x:v>E-UI-MONITOR</x:v>
      </x:c>
      <x:c r="B12" s="83" t="str">
        <x:v>https://github.com/kjuws10-rgb/A3_LD_Process_SW_IPS.git</x:v>
      </x:c>
      <x:c r="C12" s="83" t="str">
        <x:v>main</x:v>
      </x:c>
      <x:c r="D12" s="83" t="str">
        <x:v>18aee2812adbad6f682bb59ff85180340a91f543</x:v>
      </x:c>
      <x:c r="E12" s="83" t="str">
        <x:v>Drilling.UI</x:v>
      </x:c>
      <x:c r="F12" s="83" t="str">
        <x:v>Drilling.UI/Menu/Menus/CMenuMonitor.cs</x:v>
      </x:c>
      <x:c r="G12" s="83" t="n">
        <x:v>954</x:v>
      </x:c>
      <x:c r="H12" s="83" t="str">
        <x:v>CMenuMonitor</x:v>
      </x:c>
      <x:c r="I12" s="83" t="str">
        <x:v>RefreshLiveData</x:v>
      </x:c>
      <x:c r="J12" s="83" t="str">
        <x:v>부분 구현</x:v>
      </x:c>
      <x:c r="K12" s="84" t="n">
        <x:v>0.78</x:v>
      </x:c>
      <x:c r="L12" s="83" t="str">
        <x:v>Laser/Chiller/ATT/BET/Power/Pico/Motor/IO/좌표 탭과 단위 명령 확인</x:v>
      </x:c>
      <x:c r="M12" s="83" t="str">
        <x:v>실장비 동시 폴링·Timeout·재연결 부하 미검증</x:v>
      </x:c>
      <x:c r="N12" s="83" t="str">
        <x:v>Release Build PASS(0 warnings/0 errors); Core/WPF Regression PASS</x:v>
      </x:c>
      <x:c r="O12" s="83" t="str">
        <x:v>2026-08-17</x:v>
      </x:c>
    </x:row>
    <x:row r="13" ht="42" customHeight="1">
      <x:c r="A13" s="83" t="str">
        <x:v>E-UI-REVIEW</x:v>
      </x:c>
      <x:c r="B13" s="83" t="str">
        <x:v>https://github.com/kjuws10-rgb/A3_LD_Process_SW_IPS.git</x:v>
      </x:c>
      <x:c r="C13" s="83" t="str">
        <x:v>main</x:v>
      </x:c>
      <x:c r="D13" s="83" t="str">
        <x:v>18aee2812adbad6f682bb59ff85180340a91f543</x:v>
      </x:c>
      <x:c r="E13" s="83" t="str">
        <x:v>Drilling.UI</x:v>
      </x:c>
      <x:c r="F13" s="83" t="str">
        <x:v>Drilling.UI/Menu/Menus/CMenuReview.cs</x:v>
      </x:c>
      <x:c r="G13" s="83" t="n">
        <x:v>570</x:v>
      </x:c>
      <x:c r="H13" s="83" t="str">
        <x:v>CMenuReview</x:v>
      </x:c>
      <x:c r="I13" s="83" t="str">
        <x:v>Build</x:v>
      </x:c>
      <x:c r="J13" s="83" t="str">
        <x:v>부분 구현</x:v>
      </x:c>
      <x:c r="K13" s="84" t="n">
        <x:v>0.74</x:v>
      </x:c>
      <x:c r="L13" s="83" t="str">
        <x:v>Review Plan/Result/Rule/Cell 선택 및 재측정 UI 확인</x:v>
      </x:c>
      <x:c r="M13" s="83" t="str">
        <x:v>분기빔 16 Branch와 고객 보정 판정 규칙 미완</x:v>
      </x:c>
      <x:c r="N13" s="83" t="str">
        <x:v>Release Build PASS(0 warnings/0 errors); Core/WPF Regression PASS</x:v>
      </x:c>
      <x:c r="O13" s="83" t="str">
        <x:v>2026-08-17</x:v>
      </x:c>
    </x:row>
    <x:row r="14" ht="42" customHeight="1">
      <x:c r="A14" s="83" t="str">
        <x:v>E-UI-CORRECTION</x:v>
      </x:c>
      <x:c r="B14" s="83" t="str">
        <x:v>https://github.com/kjuws10-rgb/A3_LD_Process_SW_IPS.git</x:v>
      </x:c>
      <x:c r="C14" s="83" t="str">
        <x:v>main</x:v>
      </x:c>
      <x:c r="D14" s="83" t="str">
        <x:v>18aee2812adbad6f682bb59ff85180340a91f543</x:v>
      </x:c>
      <x:c r="E14" s="83" t="str">
        <x:v>Drilling.UI</x:v>
      </x:c>
      <x:c r="F14" s="83" t="str">
        <x:v>Drilling.UI/Menu/Menus/CMenuCorrection.cs</x:v>
      </x:c>
      <x:c r="G14" s="83" t="n">
        <x:v>283</x:v>
      </x:c>
      <x:c r="H14" s="83" t="str">
        <x:v>CMenuCorrection</x:v>
      </x:c>
      <x:c r="I14" s="83" t="str">
        <x:v>CreateApcIcrData</x:v>
      </x:c>
      <x:c r="J14" s="83" t="str">
        <x:v>UI/설정만 확인</x:v>
      </x:c>
      <x:c r="K14" s="84" t="n">
        <x:v>0.18</x:v>
      </x:c>
      <x:c r="L14" s="83" t="str">
        <x:v>APC/ICR 화면 항목과 적용 순서 표시 존재</x:v>
      </x:c>
      <x:c r="M14" s="83" t="str">
        <x:v>CIM 공유폴더 파일 검증·Recipe 일치·실제 적용 로직은 대기 상태</x:v>
      </x:c>
      <x:c r="N14" s="83" t="str">
        <x:v>Release Build PASS(0 warnings/0 errors); Core/WPF Regression PASS</x:v>
      </x:c>
      <x:c r="O14" s="83" t="str">
        <x:v>2026-08-17</x:v>
      </x:c>
    </x:row>
    <x:row r="15" ht="42" customHeight="1">
      <x:c r="A15" s="83" t="str">
        <x:v>E-UI-PM</x:v>
      </x:c>
      <x:c r="B15" s="83" t="str">
        <x:v>https://github.com/kjuws10-rgb/A3_LD_Process_SW_IPS.git</x:v>
      </x:c>
      <x:c r="C15" s="83" t="str">
        <x:v>main</x:v>
      </x:c>
      <x:c r="D15" s="83" t="str">
        <x:v>18aee2812adbad6f682bb59ff85180340a91f543</x:v>
      </x:c>
      <x:c r="E15" s="83" t="str">
        <x:v>Drilling.UI</x:v>
      </x:c>
      <x:c r="F15" s="83" t="str">
        <x:v>Drilling.UI/Menu/Menus/CMenuPm.cs</x:v>
      </x:c>
      <x:c r="G15" s="83" t="n">
        <x:v>28</x:v>
      </x:c>
      <x:c r="H15" s="83" t="str">
        <x:v>CMenuPm</x:v>
      </x:c>
      <x:c r="I15" s="83" t="str">
        <x:v>Build</x:v>
      </x:c>
      <x:c r="J15" s="83" t="str">
        <x:v>부분 구현</x:v>
      </x:c>
      <x:c r="K15" s="84" t="n">
        <x:v>0.62</x:v>
      </x:c>
      <x:c r="L15" s="83" t="str">
        <x:v>PM 모드 화면/상태 모델 확인</x:v>
      </x:c>
      <x:c r="M15" s="83" t="str">
        <x:v>설비 유지보수 권한·잠금·복구 검증 미완</x:v>
      </x:c>
      <x:c r="N15" s="83" t="str">
        <x:v>Release Build PASS(0 warnings/0 errors); Core/WPF Regression PASS</x:v>
      </x:c>
      <x:c r="O15" s="83" t="str">
        <x:v>2026-08-17</x:v>
      </x:c>
    </x:row>
    <x:row r="16" ht="42" customHeight="1">
      <x:c r="A16" s="83" t="str">
        <x:v>E-PLC</x:v>
      </x:c>
      <x:c r="B16" s="83" t="str">
        <x:v>https://github.com/kjuws10-rgb/A3_LD_Process_SW_IPS.git</x:v>
      </x:c>
      <x:c r="C16" s="83" t="str">
        <x:v>main</x:v>
      </x:c>
      <x:c r="D16" s="83" t="str">
        <x:v>18aee2812adbad6f682bb59ff85180340a91f543</x:v>
      </x:c>
      <x:c r="E16" s="83" t="str">
        <x:v>Drilling.Common</x:v>
      </x:c>
      <x:c r="F16" s="83" t="str">
        <x:v>Drilling.Common/Interface/Melsec/CMelsec.cs</x:v>
      </x:c>
      <x:c r="G16" s="83" t="n">
        <x:v>513</x:v>
      </x:c>
      <x:c r="H16" s="83" t="str">
        <x:v>CMelsec</x:v>
      </x:c>
      <x:c r="I16" s="83" t="str">
        <x:v>QueueWriteBit</x:v>
      </x:c>
      <x:c r="J16" s="83" t="str">
        <x:v>구현·회귀시험 확인</x:v>
      </x:c>
      <x:c r="K16" s="84" t="n">
        <x:v>0.88</x:v>
      </x:c>
      <x:c r="L16" s="83" t="str">
        <x:v>MelsecNet Open/Read/Write/Readback/Timeout/Retry/오류/재시작 회귀시험 PASS</x:v>
      </x:c>
      <x:c r="M16" s="83" t="str">
        <x:v>실제 PLC 메모리맵·스캔주기·노이즈 환경 미검증</x:v>
      </x:c>
      <x:c r="N16" s="83" t="str">
        <x:v>Release Build PASS(0 warnings/0 errors); Core/WPF Regression PASS</x:v>
      </x:c>
      <x:c r="O16" s="83" t="str">
        <x:v>2026-08-17</x:v>
      </x:c>
    </x:row>
    <x:row r="17" ht="42" customHeight="1">
      <x:c r="A17" s="83" t="str">
        <x:v>E-IF-MANAGER</x:v>
      </x:c>
      <x:c r="B17" s="83" t="str">
        <x:v>https://github.com/kjuws10-rgb/A3_LD_Process_SW_IPS.git</x:v>
      </x:c>
      <x:c r="C17" s="83" t="str">
        <x:v>main</x:v>
      </x:c>
      <x:c r="D17" s="83" t="str">
        <x:v>18aee2812adbad6f682bb59ff85180340a91f543</x:v>
      </x:c>
      <x:c r="E17" s="83" t="str">
        <x:v>Drilling.Common</x:v>
      </x:c>
      <x:c r="F17" s="83" t="str">
        <x:v>Drilling.Common/Interface/CInterfaceManager.cs</x:v>
      </x:c>
      <x:c r="G17" s="83" t="n">
        <x:v>364</x:v>
      </x:c>
      <x:c r="H17" s="83" t="str">
        <x:v>CInterfaceManager</x:v>
      </x:c>
      <x:c r="I17" s="83" t="str">
        <x:v>Reconnect</x:v>
      </x:c>
      <x:c r="J17" s="83" t="str">
        <x:v>부분 구현</x:v>
      </x:c>
      <x:c r="K17" s="84" t="n">
        <x:v>0.82</x:v>
      </x:c>
      <x:c r="L17" s="83" t="str">
        <x:v>Serial/Socket/Melsec/Automation1 장비 등록·연결·명령·로그·재연결 경로 확인</x:v>
      </x:c>
      <x:c r="M17" s="83" t="str">
        <x:v>장비별 재연결 backoff와 최대 재시도 정책 미확정</x:v>
      </x:c>
      <x:c r="N17" s="83" t="str">
        <x:v>Release Build PASS(0 warnings/0 errors); Core/WPF Regression PASS</x:v>
      </x:c>
      <x:c r="O17" s="83" t="str">
        <x:v>2026-08-17</x:v>
      </x:c>
    </x:row>
    <x:row r="18" ht="42" customHeight="1">
      <x:c r="A18" s="83" t="str">
        <x:v>E-SERIAL</x:v>
      </x:c>
      <x:c r="B18" s="83" t="str">
        <x:v>https://github.com/kjuws10-rgb/A3_LD_Process_SW_IPS.git</x:v>
      </x:c>
      <x:c r="C18" s="83" t="str">
        <x:v>main</x:v>
      </x:c>
      <x:c r="D18" s="83" t="str">
        <x:v>18aee2812adbad6f682bb59ff85180340a91f543</x:v>
      </x:c>
      <x:c r="E18" s="83" t="str">
        <x:v>Drilling.Common</x:v>
      </x:c>
      <x:c r="F18" s="83" t="str">
        <x:v>Drilling.Common/Interface/Serial/CSerialComm.cs</x:v>
      </x:c>
      <x:c r="G18" s="83" t="n">
        <x:v>46</x:v>
      </x:c>
      <x:c r="H18" s="83" t="str">
        <x:v>CSerialComm</x:v>
      </x:c>
      <x:c r="I18" s="83" t="str">
        <x:v>Open</x:v>
      </x:c>
      <x:c r="J18" s="83" t="str">
        <x:v>부분 구현</x:v>
      </x:c>
      <x:c r="K18" s="84" t="n">
        <x:v>0.76</x:v>
      </x:c>
      <x:c r="L18" s="83" t="str">
        <x:v>Serial 공통 Open/Close/Send/Receive/Timeout 구조 확인</x:v>
      </x:c>
      <x:c r="M18" s="83" t="str">
        <x:v>현장 포트·Baud·종단문자·오류주입 시험 미수행</x:v>
      </x:c>
      <x:c r="N18" s="83" t="str">
        <x:v>Release Build PASS(0 warnings/0 errors); Core/WPF Regression PASS</x:v>
      </x:c>
      <x:c r="O18" s="83" t="str">
        <x:v>2026-08-17</x:v>
      </x:c>
    </x:row>
    <x:row r="19" ht="42" customHeight="1">
      <x:c r="A19" s="83" t="str">
        <x:v>E-SOCKET</x:v>
      </x:c>
      <x:c r="B19" s="83" t="str">
        <x:v>https://github.com/kjuws10-rgb/A3_LD_Process_SW_IPS.git</x:v>
      </x:c>
      <x:c r="C19" s="83" t="str">
        <x:v>main</x:v>
      </x:c>
      <x:c r="D19" s="83" t="str">
        <x:v>18aee2812adbad6f682bb59ff85180340a91f543</x:v>
      </x:c>
      <x:c r="E19" s="83" t="str">
        <x:v>Drilling.Common</x:v>
      </x:c>
      <x:c r="F19" s="83" t="str">
        <x:v>Drilling.Common/Interface/Socket/CSocketComm.cs</x:v>
      </x:c>
      <x:c r="G19" s="83" t="n">
        <x:v>22</x:v>
      </x:c>
      <x:c r="H19" s="83" t="str">
        <x:v>CSocketComm</x:v>
      </x:c>
      <x:c r="I19" s="83" t="str">
        <x:v>Connect</x:v>
      </x:c>
      <x:c r="J19" s="83" t="str">
        <x:v>부분 구현</x:v>
      </x:c>
      <x:c r="K19" s="84" t="n">
        <x:v>0.66</x:v>
      </x:c>
      <x:c r="L19" s="83" t="str">
        <x:v>TCP Client 통신과 Timeout/예외 경로 확인</x:v>
      </x:c>
      <x:c r="M19" s="83" t="str">
        <x:v>Stage/Vision 실제 프로토콜 및 재전송·중복방지 규칙 미확정</x:v>
      </x:c>
      <x:c r="N19" s="83" t="str">
        <x:v>Release Build PASS(0 warnings/0 errors); Core/WPF Regression PASS</x:v>
      </x:c>
      <x:c r="O19" s="83" t="str">
        <x:v>2026-08-17</x:v>
      </x:c>
    </x:row>
    <x:row r="20" ht="42" customHeight="1">
      <x:c r="A20" s="83" t="str">
        <x:v>E-AUTOMATION</x:v>
      </x:c>
      <x:c r="B20" s="83" t="str">
        <x:v>https://github.com/kjuws10-rgb/A3_LD_Process_SW_IPS.git</x:v>
      </x:c>
      <x:c r="C20" s="83" t="str">
        <x:v>main</x:v>
      </x:c>
      <x:c r="D20" s="83" t="str">
        <x:v>18aee2812adbad6f682bb59ff85180340a91f543</x:v>
      </x:c>
      <x:c r="E20" s="83" t="str">
        <x:v>Drilling.Common</x:v>
      </x:c>
      <x:c r="F20" s="83" t="str">
        <x:v>Drilling.Common/Interface/Automation1/CAutomation1Comm.cs</x:v>
      </x:c>
      <x:c r="G20" s="83" t="n">
        <x:v>40</x:v>
      </x:c>
      <x:c r="H20" s="83" t="str">
        <x:v>CAutomation1Comm</x:v>
      </x:c>
      <x:c r="I20" s="83" t="str">
        <x:v>Execute</x:v>
      </x:c>
      <x:c r="J20" s="83" t="str">
        <x:v>부분 구현</x:v>
      </x:c>
      <x:c r="K20" s="84" t="n">
        <x:v>0.84</x:v>
      </x:c>
      <x:c r="L20" s="83" t="str">
        <x:v>Automation1 연결·Script Load/Run/Stop/Status 및 IO 함수 경로 확인</x:v>
      </x:c>
      <x:c r="M20" s="83" t="str">
        <x:v>GL4 실제 Controller/Task 동시실행·Fault 복구 미검증</x:v>
      </x:c>
      <x:c r="N20" s="83" t="str">
        <x:v>Release Build PASS(0 warnings/0 errors); Core/WPF Regression PASS</x:v>
      </x:c>
      <x:c r="O20" s="83" t="str">
        <x:v>2026-08-17</x:v>
      </x:c>
    </x:row>
    <x:row r="21" ht="42" customHeight="1">
      <x:c r="A21" s="83" t="str">
        <x:v>E-LASER</x:v>
      </x:c>
      <x:c r="B21" s="83" t="str">
        <x:v>https://github.com/kjuws10-rgb/A3_LD_Process_SW_IPS.git</x:v>
      </x:c>
      <x:c r="C21" s="83" t="str">
        <x:v>main</x:v>
      </x:c>
      <x:c r="D21" s="83" t="str">
        <x:v>18aee2812adbad6f682bb59ff85180340a91f543</x:v>
      </x:c>
      <x:c r="E21" s="83" t="str">
        <x:v>Drilling.Common</x:v>
      </x:c>
      <x:c r="F21" s="83" t="str">
        <x:v>Drilling.Common/Interface/Serial/CTalonLaser.cs</x:v>
      </x:c>
      <x:c r="G21" s="83" t="str"/>
      <x:c r="H21" s="83" t="str">
        <x:v>CTalonLaser</x:v>
      </x:c>
      <x:c r="I21" s="83" t="str">
        <x:v>Execute</x:v>
      </x:c>
      <x:c r="J21" s="83" t="str">
        <x:v>부분 구현</x:v>
      </x:c>
      <x:c r="K21" s="84" t="n">
        <x:v>0.76</x:v>
      </x:c>
      <x:c r="L21" s="83" t="str">
        <x:v>Talon Diode/Power/Frequency/Gate 계열 명령과 Simulation 회귀 근거 확인</x:v>
      </x:c>
      <x:c r="M21" s="83" t="str">
        <x:v>출사 조건·Gate/Shutter 타이밍·실물 인터락 미검증</x:v>
      </x:c>
      <x:c r="N21" s="83" t="str">
        <x:v>Release Build PASS(0 warnings/0 errors); Core/WPF Regression PASS</x:v>
      </x:c>
      <x:c r="O21" s="83" t="str">
        <x:v>2026-08-17</x:v>
      </x:c>
    </x:row>
    <x:row r="22" ht="42" customHeight="1">
      <x:c r="A22" s="83" t="str">
        <x:v>E-CHILLER</x:v>
      </x:c>
      <x:c r="B22" s="83" t="str">
        <x:v>https://github.com/kjuws10-rgb/A3_LD_Process_SW_IPS.git</x:v>
      </x:c>
      <x:c r="C22" s="83" t="str">
        <x:v>main</x:v>
      </x:c>
      <x:c r="D22" s="83" t="str">
        <x:v>18aee2812adbad6f682bb59ff85180340a91f543</x:v>
      </x:c>
      <x:c r="E22" s="83" t="str">
        <x:v>Drilling.Common</x:v>
      </x:c>
      <x:c r="F22" s="83" t="str">
        <x:v>Drilling.Common/Interface/Serial/COrionChiller.cs</x:v>
      </x:c>
      <x:c r="G22" s="83" t="n">
        <x:v>194</x:v>
      </x:c>
      <x:c r="H22" s="83" t="str">
        <x:v>COrionChiller</x:v>
      </x:c>
      <x:c r="I22" s="83" t="str">
        <x:v>Execute</x:v>
      </x:c>
      <x:c r="J22" s="83" t="str">
        <x:v>부분 구현</x:v>
      </x:c>
      <x:c r="K22" s="84" t="n">
        <x:v>0.75</x:v>
      </x:c>
      <x:c r="L22" s="83" t="str">
        <x:v>Chiller 설정·상태·Alarm 명령과 Simulation 회귀 근거 확인</x:v>
      </x:c>
      <x:c r="M22" s="83" t="str">
        <x:v>실장비 안정온도·Alarm 복구 미검증</x:v>
      </x:c>
      <x:c r="N22" s="83" t="str">
        <x:v>Release Build PASS(0 warnings/0 errors); Core/WPF Regression PASS</x:v>
      </x:c>
      <x:c r="O22" s="83" t="str">
        <x:v>2026-08-17</x:v>
      </x:c>
    </x:row>
    <x:row r="23" ht="42" customHeight="1">
      <x:c r="A23" s="83" t="str">
        <x:v>E-ATT</x:v>
      </x:c>
      <x:c r="B23" s="83" t="str">
        <x:v>https://github.com/kjuws10-rgb/A3_LD_Process_SW_IPS.git</x:v>
      </x:c>
      <x:c r="C23" s="83" t="str">
        <x:v>main</x:v>
      </x:c>
      <x:c r="D23" s="83" t="str">
        <x:v>18aee2812adbad6f682bb59ff85180340a91f543</x:v>
      </x:c>
      <x:c r="E23" s="83" t="str">
        <x:v>Drilling.Common</x:v>
      </x:c>
      <x:c r="F23" s="83" t="str">
        <x:v>Drilling.Common/Interface/Serial/CConex_AGP.cs</x:v>
      </x:c>
      <x:c r="G23" s="83" t="n">
        <x:v>160</x:v>
      </x:c>
      <x:c r="H23" s="83" t="str">
        <x:v>CConex_AGP</x:v>
      </x:c>
      <x:c r="I23" s="83" t="str">
        <x:v>Execute</x:v>
      </x:c>
      <x:c r="J23" s="83" t="str">
        <x:v>부분 구현</x:v>
      </x:c>
      <x:c r="K23" s="84" t="n">
        <x:v>0.76</x:v>
      </x:c>
      <x:c r="L23" s="83" t="str">
        <x:v>CONEX-AGP 위치/Origin/Stop/Error 명령과 Simulation 회귀 근거 확인</x:v>
      </x:c>
      <x:c r="M23" s="83" t="str">
        <x:v>8 Head별 Min/Max·사용량·보호윈도우 판단 연계 미완</x:v>
      </x:c>
      <x:c r="N23" s="83" t="str">
        <x:v>Release Build PASS(0 warnings/0 errors); Core/WPF Regression PASS</x:v>
      </x:c>
      <x:c r="O23" s="83" t="str">
        <x:v>2026-08-17</x:v>
      </x:c>
    </x:row>
    <x:row r="24" ht="42" customHeight="1">
      <x:c r="A24" s="83" t="str">
        <x:v>E-BET</x:v>
      </x:c>
      <x:c r="B24" s="83" t="str">
        <x:v>https://github.com/kjuws10-rgb/A3_LD_Process_SW_IPS.git</x:v>
      </x:c>
      <x:c r="C24" s="83" t="str">
        <x:v>main</x:v>
      </x:c>
      <x:c r="D24" s="83" t="str">
        <x:v>18aee2812adbad6f682bb59ff85180340a91f543</x:v>
      </x:c>
      <x:c r="E24" s="83" t="str">
        <x:v>Drilling.Common</x:v>
      </x:c>
      <x:c r="F24" s="83" t="str">
        <x:v>Drilling.Common/Interface/Serial/CBeamExpander.cs</x:v>
      </x:c>
      <x:c r="G24" s="83" t="n">
        <x:v>218</x:v>
      </x:c>
      <x:c r="H24" s="83" t="str">
        <x:v>CBeamExpander</x:v>
      </x:c>
      <x:c r="I24" s="83" t="str">
        <x:v>Execute</x:v>
      </x:c>
      <x:c r="J24" s="83" t="str">
        <x:v>부분 구현</x:v>
      </x:c>
      <x:c r="K24" s="84" t="n">
        <x:v>0.74</x:v>
      </x:c>
      <x:c r="L24" s="83" t="str">
        <x:v>Beam Expander L1/L2 성격 명령과 Simulation 회귀 근거 확인</x:v>
      </x:c>
      <x:c r="M24" s="83" t="str">
        <x:v>실제 광학계 위치 공차·복귀 안전조건 미검증</x:v>
      </x:c>
      <x:c r="N24" s="83" t="str">
        <x:v>Release Build PASS(0 warnings/0 errors); Core/WPF Regression PASS</x:v>
      </x:c>
      <x:c r="O24" s="83" t="str">
        <x:v>2026-08-17</x:v>
      </x:c>
    </x:row>
    <x:row r="25" ht="42" customHeight="1">
      <x:c r="A25" s="83" t="str">
        <x:v>E-POWERMETER</x:v>
      </x:c>
      <x:c r="B25" s="83" t="str">
        <x:v>https://github.com/kjuws10-rgb/A3_LD_Process_SW_IPS.git</x:v>
      </x:c>
      <x:c r="C25" s="83" t="str">
        <x:v>main</x:v>
      </x:c>
      <x:c r="D25" s="83" t="str">
        <x:v>18aee2812adbad6f682bb59ff85180340a91f543</x:v>
      </x:c>
      <x:c r="E25" s="83" t="str">
        <x:v>Drilling.Common</x:v>
      </x:c>
      <x:c r="F25" s="83" t="str">
        <x:v>Drilling.Common/Interface/Serial/CPowerMeter.cs</x:v>
      </x:c>
      <x:c r="G25" s="83" t="str"/>
      <x:c r="H25" s="83" t="str">
        <x:v>CPowerMeter</x:v>
      </x:c>
      <x:c r="I25" s="83" t="str">
        <x:v>Execute</x:v>
      </x:c>
      <x:c r="J25" s="83" t="str">
        <x:v>부분 구현</x:v>
      </x:c>
      <x:c r="K25" s="84" t="n">
        <x:v>0.72</x:v>
      </x:c>
      <x:c r="L25" s="83" t="str">
        <x:v>PowerMeter 설정/측정 명령과 Monitor 측정 Sequence 확인</x:v>
      </x:c>
      <x:c r="M25" s="83" t="str">
        <x:v>ATT 폐루프 자동 보정·반복 종료조건·실측 재현성 미완</x:v>
      </x:c>
      <x:c r="N25" s="83" t="str">
        <x:v>Release Build PASS(0 warnings/0 errors); Core/WPF Regression PASS</x:v>
      </x:c>
      <x:c r="O25" s="83" t="str">
        <x:v>2026-08-17</x:v>
      </x:c>
    </x:row>
    <x:row r="26" ht="42" customHeight="1">
      <x:c r="A26" s="83" t="str">
        <x:v>E-PICO</x:v>
      </x:c>
      <x:c r="B26" s="83" t="str">
        <x:v>https://github.com/kjuws10-rgb/A3_LD_Process_SW_IPS.git</x:v>
      </x:c>
      <x:c r="C26" s="83" t="str">
        <x:v>main</x:v>
      </x:c>
      <x:c r="D26" s="83" t="str">
        <x:v>18aee2812adbad6f682bb59ff85180340a91f543</x:v>
      </x:c>
      <x:c r="E26" s="83" t="str">
        <x:v>Drilling.Common</x:v>
      </x:c>
      <x:c r="F26" s="83" t="str">
        <x:v>Drilling.Common/Interface/PicoMotor/CPicoMotorService.cs</x:v>
      </x:c>
      <x:c r="G26" s="83" t="n">
        <x:v>99</x:v>
      </x:c>
      <x:c r="H26" s="83" t="str">
        <x:v>CPicoMotorService</x:v>
      </x:c>
      <x:c r="I26" s="83" t="str">
        <x:v>MoveAbsolute</x:v>
      </x:c>
      <x:c r="J26" s="83" t="str">
        <x:v>부분 구현</x:v>
      </x:c>
      <x:c r="K26" s="84" t="n">
        <x:v>0.76</x:v>
      </x:c>
      <x:c r="L26" s="83" t="str">
        <x:v>PicoMotor Connect/속도/가속/절대이동과 회귀 Simulation 확인</x:v>
      </x:c>
      <x:c r="M26" s="83" t="str">
        <x:v>실물 SDK/다축 간섭/원점·에러복구 미검증</x:v>
      </x:c>
      <x:c r="N26" s="83" t="str">
        <x:v>Release Build PASS(0 warnings/0 errors); Core/WPF Regression PASS</x:v>
      </x:c>
      <x:c r="O26" s="83" t="str">
        <x:v>2026-08-17</x:v>
      </x:c>
    </x:row>
    <x:row r="27" ht="42" customHeight="1">
      <x:c r="A27" s="83" t="str">
        <x:v>E-XPS</x:v>
      </x:c>
      <x:c r="B27" s="83" t="str">
        <x:v>https://github.com/kjuws10-rgb/A3_LD_Process_SW_IPS.git</x:v>
      </x:c>
      <x:c r="C27" s="83" t="str">
        <x:v>main</x:v>
      </x:c>
      <x:c r="D27" s="83" t="str">
        <x:v>18aee2812adbad6f682bb59ff85180340a91f543</x:v>
      </x:c>
      <x:c r="E27" s="83" t="str">
        <x:v>Drilling.Common</x:v>
      </x:c>
      <x:c r="F27" s="83" t="str">
        <x:v>Drilling.Common/Motion/XPS/CXpsMotion.cs</x:v>
      </x:c>
      <x:c r="G27" s="83" t="n">
        <x:v>49</x:v>
      </x:c>
      <x:c r="H27" s="83" t="str">
        <x:v>CXpsMotion</x:v>
      </x:c>
      <x:c r="I27" s="83" t="str">
        <x:v>MoveAbs</x:v>
      </x:c>
      <x:c r="J27" s="83" t="str">
        <x:v>부분 구현</x:v>
      </x:c>
      <x:c r="K27" s="84" t="n">
        <x:v>0.62</x:v>
      </x:c>
      <x:c r="L27" s="83" t="str">
        <x:v>XPS Motion 추상화 및 DLL 연계 확인</x:v>
      </x:c>
      <x:c r="M27" s="83" t="str">
        <x:v>실장비 Group/Axis 구성·Home/Limit 검증 미수행</x:v>
      </x:c>
      <x:c r="N27" s="83" t="str">
        <x:v>Release Build PASS(0 warnings/0 errors); Core/WPF Regression PASS</x:v>
      </x:c>
      <x:c r="O27" s="83" t="str">
        <x:v>2026-08-17</x:v>
      </x:c>
    </x:row>
    <x:row r="28" ht="42" customHeight="1">
      <x:c r="A28" s="83" t="str">
        <x:v>E-ACS</x:v>
      </x:c>
      <x:c r="B28" s="83" t="str">
        <x:v>https://github.com/kjuws10-rgb/A3_LD_Process_SW_IPS.git</x:v>
      </x:c>
      <x:c r="C28" s="83" t="str">
        <x:v>main</x:v>
      </x:c>
      <x:c r="D28" s="83" t="str">
        <x:v>18aee2812adbad6f682bb59ff85180340a91f543</x:v>
      </x:c>
      <x:c r="E28" s="83" t="str">
        <x:v>Drilling.Common</x:v>
      </x:c>
      <x:c r="F28" s="83" t="str">
        <x:v>Drilling.Common/Motion/ACS/CACSMotion.cs</x:v>
      </x:c>
      <x:c r="G28" s="83" t="str"/>
      <x:c r="H28" s="83" t="str">
        <x:v>CACSMotion</x:v>
      </x:c>
      <x:c r="I28" s="83" t="str">
        <x:v>MoveAbs</x:v>
      </x:c>
      <x:c r="J28" s="83" t="str">
        <x:v>부분 구현</x:v>
      </x:c>
      <x:c r="K28" s="84" t="n">
        <x:v>0.62</x:v>
      </x:c>
      <x:c r="L28" s="83" t="str">
        <x:v>ACS Motion 추상화와 SPiiPlusNET7 의존성 확인</x:v>
      </x:c>
      <x:c r="M28" s="83" t="str">
        <x:v>Review 실장비·Melsec 제어권 경계 미검증</x:v>
      </x:c>
      <x:c r="N28" s="83" t="str">
        <x:v>Release Build PASS(0 warnings/0 errors); Core/WPF Regression PASS</x:v>
      </x:c>
      <x:c r="O28" s="83" t="str">
        <x:v>2026-08-17</x:v>
      </x:c>
    </x:row>
    <x:row r="29" ht="42" customHeight="1">
      <x:c r="A29" s="83" t="str">
        <x:v>E-CSV</x:v>
      </x:c>
      <x:c r="B29" s="83" t="str">
        <x:v>https://github.com/kjuws10-rgb/A3_LD_Process_SW_IPS.git</x:v>
      </x:c>
      <x:c r="C29" s="83" t="str">
        <x:v>main</x:v>
      </x:c>
      <x:c r="D29" s="83" t="str">
        <x:v>18aee2812adbad6f682bb59ff85180340a91f543</x:v>
      </x:c>
      <x:c r="E29" s="83" t="str">
        <x:v>Drilling.File</x:v>
      </x:c>
      <x:c r="F29" s="83" t="str">
        <x:v>Drilling.File/Parser/CCsvParser.cs</x:v>
      </x:c>
      <x:c r="G29" s="83" t="n">
        <x:v>4</x:v>
      </x:c>
      <x:c r="H29" s="83" t="str">
        <x:v>CCsvParser</x:v>
      </x:c>
      <x:c r="I29" s="83" t="str">
        <x:v>Parse</x:v>
      </x:c>
      <x:c r="J29" s="83" t="str">
        <x:v>구현·회귀시험 확인</x:v>
      </x:c>
      <x:c r="K29" s="84" t="n">
        <x:v>0.88</x:v>
      </x:c>
      <x:c r="L29" s="83" t="str">
        <x:v>CSV quoting/round-trip/형식 검증 회귀시험 PASS</x:v>
      </x:c>
      <x:c r="M29" s="83" t="str">
        <x:v>대용량·손상파일·원자적 교체 복구 정책 추가 필요</x:v>
      </x:c>
      <x:c r="N29" s="83" t="str">
        <x:v>Release Build PASS(0 warnings/0 errors); Core/WPF Regression PASS</x:v>
      </x:c>
      <x:c r="O29" s="83" t="str">
        <x:v>2026-08-17</x:v>
      </x:c>
    </x:row>
    <x:row r="30" ht="42" customHeight="1">
      <x:c r="A30" s="83" t="str">
        <x:v>E-RECIPE-FILE</x:v>
      </x:c>
      <x:c r="B30" s="83" t="str">
        <x:v>https://github.com/kjuws10-rgb/A3_LD_Process_SW_IPS.git</x:v>
      </x:c>
      <x:c r="C30" s="83" t="str">
        <x:v>main</x:v>
      </x:c>
      <x:c r="D30" s="83" t="str">
        <x:v>18aee2812adbad6f682bb59ff85180340a91f543</x:v>
      </x:c>
      <x:c r="E30" s="83" t="str">
        <x:v>Drilling.File</x:v>
      </x:c>
      <x:c r="F30" s="83" t="str">
        <x:v>Drilling.File/JHMI/CJhmiRecipeFile.cs</x:v>
      </x:c>
      <x:c r="G30" s="83" t="n">
        <x:v>101</x:v>
      </x:c>
      <x:c r="H30" s="83" t="str">
        <x:v>CJhmiRecipeFile</x:v>
      </x:c>
      <x:c r="I30" s="83" t="str">
        <x:v>Save</x:v>
      </x:c>
      <x:c r="J30" s="83" t="str">
        <x:v>구현·회귀시험 확인</x:v>
      </x:c>
      <x:c r="K30" s="84" t="n">
        <x:v>0.88</x:v>
      </x:c>
      <x:c r="L30" s="83" t="str">
        <x:v>Recipe 저장/로드/삭제/이름변경/변경로그와 round-trip PASS</x:v>
      </x:c>
      <x:c r="M30" s="83" t="str">
        <x:v>보정데이터 포함 복사·PPID 매칭·Auto Job Change 미완</x:v>
      </x:c>
      <x:c r="N30" s="83" t="str">
        <x:v>Release Build PASS(0 warnings/0 errors); Core/WPF Regression PASS</x:v>
      </x:c>
      <x:c r="O30" s="83" t="str">
        <x:v>2026-08-17</x:v>
      </x:c>
    </x:row>
    <x:row r="31" ht="42" customHeight="1">
      <x:c r="A31" s="83" t="str">
        <x:v>E-SETTING-FILE</x:v>
      </x:c>
      <x:c r="B31" s="83" t="str">
        <x:v>https://github.com/kjuws10-rgb/A3_LD_Process_SW_IPS.git</x:v>
      </x:c>
      <x:c r="C31" s="83" t="str">
        <x:v>main</x:v>
      </x:c>
      <x:c r="D31" s="83" t="str">
        <x:v>18aee2812adbad6f682bb59ff85180340a91f543</x:v>
      </x:c>
      <x:c r="E31" s="83" t="str">
        <x:v>Drilling.File</x:v>
      </x:c>
      <x:c r="F31" s="83" t="str">
        <x:v>Drilling.File/JHMI/CSettingFile.cs</x:v>
      </x:c>
      <x:c r="G31" s="83" t="n">
        <x:v>88</x:v>
      </x:c>
      <x:c r="H31" s="83" t="str">
        <x:v>CSettingFile</x:v>
      </x:c>
      <x:c r="I31" s="83" t="str">
        <x:v>Save</x:v>
      </x:c>
      <x:c r="J31" s="83" t="str">
        <x:v>구현·회귀시험 확인</x:v>
      </x:c>
      <x:c r="K31" s="84" t="n">
        <x:v>0.87</x:v>
      </x:c>
      <x:c r="L31" s="83" t="str">
        <x:v>Setting 저장/로드/범위 검증 round-trip PASS</x:v>
      </x:c>
      <x:c r="M31" s="83" t="str">
        <x:v>설정 백업/복구·버전 Migration 미완</x:v>
      </x:c>
      <x:c r="N31" s="83" t="str">
        <x:v>Release Build PASS(0 warnings/0 errors); Core/WPF Regression PASS</x:v>
      </x:c>
      <x:c r="O31" s="83" t="str">
        <x:v>2026-08-17</x:v>
      </x:c>
    </x:row>
    <x:row r="32" ht="42" customHeight="1">
      <x:c r="A32" s="83" t="str">
        <x:v>E-PRODUCT-FILE</x:v>
      </x:c>
      <x:c r="B32" s="83" t="str">
        <x:v>https://github.com/kjuws10-rgb/A3_LD_Process_SW_IPS.git</x:v>
      </x:c>
      <x:c r="C32" s="83" t="str">
        <x:v>main</x:v>
      </x:c>
      <x:c r="D32" s="83" t="str">
        <x:v>18aee2812adbad6f682bb59ff85180340a91f543</x:v>
      </x:c>
      <x:c r="E32" s="83" t="str">
        <x:v>Drilling.File</x:v>
      </x:c>
      <x:c r="F32" s="83" t="str">
        <x:v>Drilling.File/Product/CProductFile.cs</x:v>
      </x:c>
      <x:c r="G32" s="83" t="n">
        <x:v>150</x:v>
      </x:c>
      <x:c r="H32" s="83" t="str">
        <x:v>CProductFile</x:v>
      </x:c>
      <x:c r="I32" s="83" t="str">
        <x:v>Save</x:v>
      </x:c>
      <x:c r="J32" s="83" t="str">
        <x:v>부분 구현</x:v>
      </x:c>
      <x:c r="K32" s="84" t="n">
        <x:v>0.68</x:v>
      </x:c>
      <x:c r="L32" s="83" t="str">
        <x:v>Active/History Product 파일 구조와 기록 경로 확인</x:v>
      </x:c>
      <x:c r="M32" s="83" t="str">
        <x:v>일부 Load 탐색이 null 반환하며 CIM 결과 정합성 미검증</x:v>
      </x:c>
      <x:c r="N32" s="83" t="str">
        <x:v>Release Build PASS(0 warnings/0 errors); Core/WPF Regression PASS</x:v>
      </x:c>
      <x:c r="O32" s="83" t="str">
        <x:v>2026-08-17</x:v>
      </x:c>
    </x:row>
    <x:row r="33" ht="42" customHeight="1">
      <x:c r="A33" s="83" t="str">
        <x:v>E-SCRIPT</x:v>
      </x:c>
      <x:c r="B33" s="83" t="str">
        <x:v>https://github.com/kjuws10-rgb/A3_LD_Process_SW_IPS.git</x:v>
      </x:c>
      <x:c r="C33" s="83" t="str">
        <x:v>main</x:v>
      </x:c>
      <x:c r="D33" s="83" t="str">
        <x:v>18aee2812adbad6f682bb59ff85180340a91f543</x:v>
      </x:c>
      <x:c r="E33" s="83" t="str">
        <x:v>Drilling.File</x:v>
      </x:c>
      <x:c r="F33" s="83" t="str">
        <x:v>Drilling.File/Script/CAutomation1ScriptFile.cs</x:v>
      </x:c>
      <x:c r="G33" s="83" t="n">
        <x:v>38</x:v>
      </x:c>
      <x:c r="H33" s="83" t="str">
        <x:v>CAutomation1ScriptFile</x:v>
      </x:c>
      <x:c r="I33" s="83" t="str">
        <x:v>Build</x:v>
      </x:c>
      <x:c r="J33" s="83" t="str">
        <x:v>구현·회귀시험 확인</x:v>
      </x:c>
      <x:c r="K33" s="84" t="n">
        <x:v>0.88</x:v>
      </x:c>
      <x:c r="L33" s="83" t="str">
        <x:v>Head별 Script, GX/GY, Encoder/AUX wait, PSO/ShotDelay 생성과 Golden 회귀 PASS</x:v>
      </x:c>
      <x:c r="M33" s="83" t="str">
        <x:v>Lead-in/out 명시 규칙·실제 8 Head GL4 동기 검증 미수행</x:v>
      </x:c>
      <x:c r="N33" s="83" t="str">
        <x:v>Release Build PASS(0 warnings/0 errors); Core/WPF Regression PASS</x:v>
      </x:c>
      <x:c r="O33" s="83" t="str">
        <x:v>2026-08-17</x:v>
      </x:c>
    </x:row>
    <x:row r="34" ht="42" customHeight="1">
      <x:c r="A34" s="83" t="str">
        <x:v>E-SEQUENCE</x:v>
      </x:c>
      <x:c r="B34" s="83" t="str">
        <x:v>https://github.com/kjuws10-rgb/A3_LD_Process_SW_IPS.git</x:v>
      </x:c>
      <x:c r="C34" s="83" t="str">
        <x:v>main</x:v>
      </x:c>
      <x:c r="D34" s="83" t="str">
        <x:v>18aee2812adbad6f682bb59ff85180340a91f543</x:v>
      </x:c>
      <x:c r="E34" s="83" t="str">
        <x:v>Drilling.Common</x:v>
      </x:c>
      <x:c r="F34" s="83" t="str">
        <x:v>Drilling.Common/Station/CStationProcess.cs</x:v>
      </x:c>
      <x:c r="G34" s="83" t="n">
        <x:v>270</x:v>
      </x:c>
      <x:c r="H34" s="83" t="str">
        <x:v>CStationProcess</x:v>
      </x:c>
      <x:c r="I34" s="83" t="str">
        <x:v>RunPreCheck</x:v>
      </x:c>
      <x:c r="J34" s="83" t="str">
        <x:v>부분 구현</x:v>
      </x:c>
      <x:c r="K34" s="84" t="n">
        <x:v>0.78</x:v>
      </x:c>
      <x:c r="L34" s="83" t="str">
        <x:v>PreCheck→Recipe/Product→Align→Optic→Process→Review→Power→Complete 흐름과 상태/Alarm 연결 확인</x:v>
      </x:c>
      <x:c r="M34" s="83" t="str">
        <x:v>Stage/Vision/CIM 실장비 Handshake와 전체 Recovery 미완</x:v>
      </x:c>
      <x:c r="N34" s="83" t="str">
        <x:v>Release Build PASS(0 warnings/0 errors); Core/WPF Regression PASS</x:v>
      </x:c>
      <x:c r="O34" s="83" t="str">
        <x:v>2026-08-17</x:v>
      </x:c>
    </x:row>
    <x:row r="35" ht="42" customHeight="1">
      <x:c r="A35" s="83" t="str">
        <x:v>E-SEQUENCE-STOP</x:v>
      </x:c>
      <x:c r="B35" s="83" t="str">
        <x:v>https://github.com/kjuws10-rgb/A3_LD_Process_SW_IPS.git</x:v>
      </x:c>
      <x:c r="C35" s="83" t="str">
        <x:v>main</x:v>
      </x:c>
      <x:c r="D35" s="83" t="str">
        <x:v>18aee2812adbad6f682bb59ff85180340a91f543</x:v>
      </x:c>
      <x:c r="E35" s="83" t="str">
        <x:v>Drilling.Common</x:v>
      </x:c>
      <x:c r="F35" s="83" t="str">
        <x:v>Drilling.Common/Station/CStationProcess.cs</x:v>
      </x:c>
      <x:c r="G35" s="83" t="n">
        <x:v>311</x:v>
      </x:c>
      <x:c r="H35" s="83" t="str">
        <x:v>CStationProcess</x:v>
      </x:c>
      <x:c r="I35" s="83" t="str">
        <x:v>ProcessReset</x:v>
      </x:c>
      <x:c r="J35" s="83" t="str">
        <x:v>부분 구현</x:v>
      </x:c>
      <x:c r="K35" s="84" t="n">
        <x:v>0.66</x:v>
      </x:c>
      <x:c r="L35" s="83" t="str">
        <x:v>Stop/Reset·Task Stop·Laser Safe 복귀 경로 확인</x:v>
      </x:c>
      <x:c r="M35" s="83" t="str">
        <x:v>Pause/Resume/중단점 재시작·재가공 정책 미구현</x:v>
      </x:c>
      <x:c r="N35" s="83" t="str">
        <x:v>Release Build PASS(0 warnings/0 errors); Core/WPF Regression PASS</x:v>
      </x:c>
      <x:c r="O35" s="83" t="str">
        <x:v>2026-08-17</x:v>
      </x:c>
    </x:row>
    <x:row r="36" ht="42" customHeight="1">
      <x:c r="A36" s="83" t="str">
        <x:v>E-INTERLOCK</x:v>
      </x:c>
      <x:c r="B36" s="83" t="str">
        <x:v>https://github.com/kjuws10-rgb/A3_LD_Process_SW_IPS.git</x:v>
      </x:c>
      <x:c r="C36" s="83" t="str">
        <x:v>main</x:v>
      </x:c>
      <x:c r="D36" s="83" t="str">
        <x:v>18aee2812adbad6f682bb59ff85180340a91f543</x:v>
      </x:c>
      <x:c r="E36" s="83" t="str">
        <x:v>Drilling.Common</x:v>
      </x:c>
      <x:c r="F36" s="83" t="str">
        <x:v>Drilling.Common/InterLock/CInterLockManager.cs</x:v>
      </x:c>
      <x:c r="G36" s="83" t="n">
        <x:v>66</x:v>
      </x:c>
      <x:c r="H36" s="83" t="str">
        <x:v>CInterLockManager</x:v>
      </x:c>
      <x:c r="I36" s="83" t="str">
        <x:v>Evaluate</x:v>
      </x:c>
      <x:c r="J36" s="83" t="str">
        <x:v>구현·회귀시험 확인</x:v>
      </x:c>
      <x:c r="K36" s="84" t="n">
        <x:v>0.84</x:v>
      </x:c>
      <x:c r="L36" s="83" t="str">
        <x:v>EMS/Door/Leak/Smoke/PM/Chiller/Motion/BET Interlock 평가 회귀 PASS</x:v>
      </x:c>
      <x:c r="M36" s="83" t="str">
        <x:v>최종 설비 I/O List·Laser/Stage 정지 순서 현장 검증 미완</x:v>
      </x:c>
      <x:c r="N36" s="83" t="str">
        <x:v>Release Build PASS(0 warnings/0 errors); Core/WPF Regression PASS</x:v>
      </x:c>
      <x:c r="O36" s="83" t="str">
        <x:v>2026-08-17</x:v>
      </x:c>
    </x:row>
    <x:row r="37" ht="42" customHeight="1">
      <x:c r="A37" s="83" t="str">
        <x:v>E-ALARM</x:v>
      </x:c>
      <x:c r="B37" s="83" t="str">
        <x:v>https://github.com/kjuws10-rgb/A3_LD_Process_SW_IPS.git</x:v>
      </x:c>
      <x:c r="C37" s="83" t="str">
        <x:v>main</x:v>
      </x:c>
      <x:c r="D37" s="83" t="str">
        <x:v>18aee2812adbad6f682bb59ff85180340a91f543</x:v>
      </x:c>
      <x:c r="E37" s="83" t="str">
        <x:v>Drilling.Common</x:v>
      </x:c>
      <x:c r="F37" s="83" t="str">
        <x:v>Drilling.Common/Alarm/CAlarmManager.cs</x:v>
      </x:c>
      <x:c r="G37" s="83" t="str"/>
      <x:c r="H37" s="83" t="str">
        <x:v>CAlarmManager</x:v>
      </x:c>
      <x:c r="I37" s="83" t="str">
        <x:v>Evaluate</x:v>
      </x:c>
      <x:c r="J37" s="83" t="str">
        <x:v>부분 구현</x:v>
      </x:c>
      <x:c r="K37" s="84" t="n">
        <x:v>0.72</x:v>
      </x:c>
      <x:c r="L37" s="83" t="str">
        <x:v>Alarm Rule 평가·중복 발생 안정성·Recovery Action 모델 회귀 확인</x:v>
      </x:c>
      <x:c r="M37" s="83" t="str">
        <x:v>고객 Alarm Code Map/Reset Handshake/History 보존정책 미확정</x:v>
      </x:c>
      <x:c r="N37" s="83" t="str">
        <x:v>Release Build PASS(0 warnings/0 errors); Core/WPF Regression PASS</x:v>
      </x:c>
      <x:c r="O37" s="83" t="str">
        <x:v>2026-08-17</x:v>
      </x:c>
    </x:row>
    <x:row r="38" ht="42" customHeight="1">
      <x:c r="A38" s="83" t="str">
        <x:v>E-LOG</x:v>
      </x:c>
      <x:c r="B38" s="83" t="str">
        <x:v>https://github.com/kjuws10-rgb/A3_LD_Process_SW_IPS.git</x:v>
      </x:c>
      <x:c r="C38" s="83" t="str">
        <x:v>main</x:v>
      </x:c>
      <x:c r="D38" s="83" t="str">
        <x:v>18aee2812adbad6f682bb59ff85180340a91f543</x:v>
      </x:c>
      <x:c r="E38" s="83" t="str">
        <x:v>Drilling.Common</x:v>
      </x:c>
      <x:c r="F38" s="83" t="str">
        <x:v>Drilling.Common/Log/CLogManager.cs</x:v>
      </x:c>
      <x:c r="G38" s="83" t="n">
        <x:v>182</x:v>
      </x:c>
      <x:c r="H38" s="83" t="str">
        <x:v>CLogManager</x:v>
      </x:c>
      <x:c r="I38" s="83" t="str">
        <x:v>WriteInterfaceCommand</x:v>
      </x:c>
      <x:c r="J38" s="83" t="str">
        <x:v>구현·회귀시험 확인</x:v>
      </x:c>
      <x:c r="K38" s="84" t="n">
        <x:v>0.85</x:v>
      </x:c>
      <x:c r="L38" s="83" t="str">
        <x:v>Recipe/Setting/Interface/Product/Station 로그 저장·읽기와 인용부호 회귀 PASS</x:v>
      </x:c>
      <x:c r="M38" s="83" t="str">
        <x:v>보존기간·용량 Rotation·Server PC 백업 정책 미확정</x:v>
      </x:c>
      <x:c r="N38" s="83" t="str">
        <x:v>Release Build PASS(0 warnings/0 errors); Core/WPF Regression PASS</x:v>
      </x:c>
      <x:c r="O38" s="83" t="str">
        <x:v>2026-08-17</x:v>
      </x:c>
    </x:row>
    <x:row r="39" ht="42" customHeight="1">
      <x:c r="A39" s="83" t="str">
        <x:v>E-COORD</x:v>
      </x:c>
      <x:c r="B39" s="83" t="str">
        <x:v>https://github.com/kjuws10-rgb/A3_LD_Process_SW_IPS.git</x:v>
      </x:c>
      <x:c r="C39" s="83" t="str">
        <x:v>main</x:v>
      </x:c>
      <x:c r="D39" s="83" t="str">
        <x:v>18aee2812adbad6f682bb59ff85180340a91f543</x:v>
      </x:c>
      <x:c r="E39" s="83" t="str">
        <x:v>Drilling.Common</x:v>
      </x:c>
      <x:c r="F39" s="83" t="str">
        <x:v>Drilling.Common/Recipe/CRecipeHolePlan.cs</x:v>
      </x:c>
      <x:c r="G39" s="83" t="n">
        <x:v>116</x:v>
      </x:c>
      <x:c r="H39" s="83" t="str">
        <x:v>CRecipeHolePlan</x:v>
      </x:c>
      <x:c r="I39" s="83" t="str">
        <x:v>Build</x:v>
      </x:c>
      <x:c r="J39" s="83" t="str">
        <x:v>부분 구현</x:v>
      </x:c>
      <x:c r="K39" s="84" t="n">
        <x:v>0.76</x:v>
      </x:c>
      <x:c r="L39" s="83" t="str">
        <x:v>Cell/Hole 생성·Head 배분·Default Offset·홀짝 GX/GY 방향·StageY 변환 확인</x:v>
      </x:c>
      <x:c r="M39" s="83" t="str">
        <x:v>Virtual Origin·Camera-to-Global·최종 설치 Offset·누적 보정 순서 미확정</x:v>
      </x:c>
      <x:c r="N39" s="83" t="str">
        <x:v>Release Build PASS(0 warnings/0 errors); Core/WPF Regression PASS</x:v>
      </x:c>
      <x:c r="O39" s="83" t="str">
        <x:v>2026-08-17</x:v>
      </x:c>
    </x:row>
    <x:row r="40" ht="42" customHeight="1">
      <x:c r="A40" s="83" t="str">
        <x:v>E-CELL-POINT</x:v>
      </x:c>
      <x:c r="B40" s="83" t="str">
        <x:v>https://github.com/kjuws10-rgb/A3_LD_Process_SW_IPS.git</x:v>
      </x:c>
      <x:c r="C40" s="83" t="str">
        <x:v>main</x:v>
      </x:c>
      <x:c r="D40" s="83" t="str">
        <x:v>18aee2812adbad6f682bb59ff85180340a91f543</x:v>
      </x:c>
      <x:c r="E40" s="83" t="str">
        <x:v>Drilling.Common</x:v>
      </x:c>
      <x:c r="F40" s="83" t="str">
        <x:v>Drilling.Common/Recipe/CCellPointCalculator.cs</x:v>
      </x:c>
      <x:c r="G40" s="83" t="n">
        <x:v>40</x:v>
      </x:c>
      <x:c r="H40" s="83" t="str">
        <x:v>CCellPointCalculator</x:v>
      </x:c>
      <x:c r="I40" s="83" t="str">
        <x:v>Calculate</x:v>
      </x:c>
      <x:c r="J40" s="83" t="str">
        <x:v>부분 구현</x:v>
      </x:c>
      <x:c r="K40" s="84" t="n">
        <x:v>0.78</x:v>
      </x:c>
      <x:c r="L40" s="83" t="str">
        <x:v>Align Key 기준 Cell 시작점/Pitch/Rotation 계산 확인</x:v>
      </x:c>
      <x:c r="M40" s="83" t="str">
        <x:v>실제 Design/Glass/Global 좌표 기준값 및 카메라 보정 미검증</x:v>
      </x:c>
      <x:c r="N40" s="83" t="str">
        <x:v>Release Build PASS(0 warnings/0 errors); Core/WPF Regression PASS</x:v>
      </x:c>
      <x:c r="O40" s="83" t="str">
        <x:v>2026-08-17</x:v>
      </x:c>
    </x:row>
    <x:row r="41" ht="42" customHeight="1">
      <x:c r="A41" s="83" t="str">
        <x:v>E-REVIEW</x:v>
      </x:c>
      <x:c r="B41" s="83" t="str">
        <x:v>https://github.com/kjuws10-rgb/A3_LD_Process_SW_IPS.git</x:v>
      </x:c>
      <x:c r="C41" s="83" t="str">
        <x:v>main</x:v>
      </x:c>
      <x:c r="D41" s="83" t="str">
        <x:v>18aee2812adbad6f682bb59ff85180340a91f543</x:v>
      </x:c>
      <x:c r="E41" s="83" t="str">
        <x:v>Drilling.Common</x:v>
      </x:c>
      <x:c r="F41" s="83" t="str">
        <x:v>Drilling.Common/Review/CReviewManager.cs</x:v>
      </x:c>
      <x:c r="G41" s="83" t="n">
        <x:v>303</x:v>
      </x:c>
      <x:c r="H41" s="83" t="str">
        <x:v>CReviewManager</x:v>
      </x:c>
      <x:c r="I41" s="83" t="str">
        <x:v>CreatePlan</x:v>
      </x:c>
      <x:c r="J41" s="83" t="str">
        <x:v>부분 구현</x:v>
      </x:c>
      <x:c r="K41" s="84" t="n">
        <x:v>0.8</x:v>
      </x:c>
      <x:c r="L41" s="83" t="str">
        <x:v>Review Plan·Stage/Vision Move·Measure·Result Save·Retry·Offset 적용과 Thread 회귀 PASS</x:v>
      </x:c>
      <x:c r="M41" s="83" t="str">
        <x:v>16 Branch/3줄·누적 Offset·실장비 Vision 프로토콜 미검증</x:v>
      </x:c>
      <x:c r="N41" s="83" t="str">
        <x:v>Release Build PASS(0 warnings/0 errors); Core/WPF Regression PASS</x:v>
      </x:c>
      <x:c r="O41" s="83" t="str">
        <x:v>2026-08-17</x:v>
      </x:c>
    </x:row>
    <x:row r="42" ht="42" customHeight="1">
      <x:c r="A42" s="83" t="str">
        <x:v>E-REVIEW-COORD</x:v>
      </x:c>
      <x:c r="B42" s="83" t="str">
        <x:v>https://github.com/kjuws10-rgb/A3_LD_Process_SW_IPS.git</x:v>
      </x:c>
      <x:c r="C42" s="83" t="str">
        <x:v>main</x:v>
      </x:c>
      <x:c r="D42" s="83" t="str">
        <x:v>18aee2812adbad6f682bb59ff85180340a91f543</x:v>
      </x:c>
      <x:c r="E42" s="83" t="str">
        <x:v>Drilling.Common</x:v>
      </x:c>
      <x:c r="F42" s="83" t="str">
        <x:v>Drilling.Common/Review/CReviewCoordinateTransformer.cs</x:v>
      </x:c>
      <x:c r="G42" s="83" t="n">
        <x:v>22</x:v>
      </x:c>
      <x:c r="H42" s="83" t="str">
        <x:v>CReviewCoordinateTransformer</x:v>
      </x:c>
      <x:c r="I42" s="83" t="str">
        <x:v>VisionErrorToScannerOffset</x:v>
      </x:c>
      <x:c r="J42" s="83" t="str">
        <x:v>부분 구현</x:v>
      </x:c>
      <x:c r="K42" s="84" t="n">
        <x:v>0.74</x:v>
      </x:c>
      <x:c r="L42" s="83" t="str">
        <x:v>Vision Error를 홀짝 Scanner 축 방향으로 변환하는 수식 확인</x:v>
      </x:c>
      <x:c r="M42" s="83" t="str">
        <x:v>Camera Pixel-to-mm/Global anchor/설치 보정값 현장 확정 필요</x:v>
      </x:c>
      <x:c r="N42" s="83" t="str">
        <x:v>Release Build PASS(0 warnings/0 errors); Core/WPF Regression PASS</x:v>
      </x:c>
      <x:c r="O42" s="83" t="str">
        <x:v>2026-08-17</x:v>
      </x:c>
    </x:row>
    <x:row r="43" ht="42" customHeight="1">
      <x:c r="A43" s="83" t="str">
        <x:v>E-DISTORTION</x:v>
      </x:c>
      <x:c r="B43" s="83" t="str">
        <x:v>https://github.com/kjuws10-rgb/A3_LD_Process_SW_IPS.git</x:v>
      </x:c>
      <x:c r="C43" s="83" t="str">
        <x:v>main</x:v>
      </x:c>
      <x:c r="D43" s="83" t="str">
        <x:v>18aee2812adbad6f682bb59ff85180340a91f543</x:v>
      </x:c>
      <x:c r="E43" s="83" t="str">
        <x:v>Drilling.UI</x:v>
      </x:c>
      <x:c r="F43" s="83" t="str">
        <x:v>Drilling.UI/Menu/Menus/CMenuRecipe.cs</x:v>
      </x:c>
      <x:c r="G43" s="83" t="n">
        <x:v>41</x:v>
      </x:c>
      <x:c r="H43" s="83" t="str">
        <x:v>CMenuRecipe</x:v>
      </x:c>
      <x:c r="I43" s="83" t="str">
        <x:v>DISTORTION_KEY</x:v>
      </x:c>
      <x:c r="J43" s="83" t="str">
        <x:v>부분 구현</x:v>
      </x:c>
      <x:c r="K43" s="84" t="n">
        <x:v>0.72</x:v>
      </x:c>
      <x:c r="L43" s="83" t="str">
        <x:v>6개 Distortion Key Recipe 모델·Preview/UI 표시 확인</x:v>
      </x:c>
      <x:c r="M43" s="83" t="str">
        <x:v>측정→Field correction 생성·적용 순서·검증 미완</x:v>
      </x:c>
      <x:c r="N43" s="83" t="str">
        <x:v>Release Build PASS(0 warnings/0 errors); Core/WPF Regression PASS</x:v>
      </x:c>
      <x:c r="O43" s="83" t="str">
        <x:v>2026-08-17</x:v>
      </x:c>
    </x:row>
    <x:row r="44" ht="42" customHeight="1">
      <x:c r="A44" s="83" t="str">
        <x:v>E-REGRESSION</x:v>
      </x:c>
      <x:c r="B44" s="83" t="str">
        <x:v>https://github.com/kjuws10-rgb/A3_LD_Process_SW_IPS.git</x:v>
      </x:c>
      <x:c r="C44" s="83" t="str">
        <x:v>main</x:v>
      </x:c>
      <x:c r="D44" s="83" t="str">
        <x:v>18aee2812adbad6f682bb59ff85180340a91f543</x:v>
      </x:c>
      <x:c r="E44" s="83" t="str">
        <x:v>Drilling.Regression</x:v>
      </x:c>
      <x:c r="F44" s="83" t="str">
        <x:v>Drilling.Regression/Program.cs</x:v>
      </x:c>
      <x:c r="G44" s="83" t="n">
        <x:v>38</x:v>
      </x:c>
      <x:c r="H44" s="83" t="str">
        <x:v>Program</x:v>
      </x:c>
      <x:c r="I44" s="83" t="str">
        <x:v>RunSimulationFlow</x:v>
      </x:c>
      <x:c r="J44" s="83" t="str">
        <x:v>구현·회귀시험 확인</x:v>
      </x:c>
      <x:c r="K44" s="84" t="n">
        <x:v>0.88</x:v>
      </x:c>
      <x:c r="L44" s="83" t="str">
        <x:v>Core/WPF 회귀 실행 PASS, Build 경고 0·오류 0</x:v>
      </x:c>
      <x:c r="M44" s="83" t="str">
        <x:v>Simulation/Mock 기반이며 실장비·장시간·Tact 검증 아님</x:v>
      </x:c>
      <x:c r="N44" s="83" t="str">
        <x:v>Release Build PASS(0 warnings/0 errors); Core/WPF Regression PASS</x:v>
      </x:c>
      <x:c r="O44" s="83" t="str">
        <x:v>2026-08-17</x:v>
      </x:c>
    </x:row>
    <x:row r="45" ht="42" customHeight="1">
      <x:c r="A45" s="83" t="str">
        <x:v>E-NO-CIM</x:v>
      </x:c>
      <x:c r="B45" s="83" t="str">
        <x:v>https://github.com/kjuws10-rgb/A3_LD_Process_SW_IPS.git</x:v>
      </x:c>
      <x:c r="C45" s="83" t="str">
        <x:v>main</x:v>
      </x:c>
      <x:c r="D45" s="83" t="str">
        <x:v>18aee2812adbad6f682bb59ff85180340a91f543</x:v>
      </x:c>
      <x:c r="E45" s="83" t="str">
        <x:v>저장소 전체</x:v>
      </x:c>
      <x:c r="F45" s="83" t="str">
        <x:v>-</x:v>
      </x:c>
      <x:c r="G45" s="83" t="str"/>
      <x:c r="H45" s="83" t="str">
        <x:v>-</x:v>
      </x:c>
      <x:c r="I45" s="83" t="str">
        <x:v>CIM 전용 Driver/Sequence</x:v>
      </x:c>
      <x:c r="J45" s="83" t="str">
        <x:v>미구현(직접 근거 없음)</x:v>
      </x:c>
      <x:c r="K45" s="84" t="n">
        <x:v>0.05</x:v>
      </x:c>
      <x:c r="L45" s="83" t="str">
        <x:v>CIM NAME/PPID 필드와 APC 화면 문구만 확인</x:v>
      </x:c>
      <x:c r="M45" s="83" t="str">
        <x:v>CIM 연결·보고·응답·재전송 구현 근거 없음</x:v>
      </x:c>
      <x:c r="N45" s="83" t="str">
        <x:v>Release Build PASS(0 warnings/0 errors); Core/WPF Regression PASS</x:v>
      </x:c>
      <x:c r="O45" s="83" t="str">
        <x:v>2026-08-17</x:v>
      </x:c>
    </x:row>
    <x:row r="46" ht="42" customHeight="1">
      <x:c r="A46" s="83" t="str">
        <x:v>E-NO-JOBCHANGE</x:v>
      </x:c>
      <x:c r="B46" s="83" t="str">
        <x:v>https://github.com/kjuws10-rgb/A3_LD_Process_SW_IPS.git</x:v>
      </x:c>
      <x:c r="C46" s="83" t="str">
        <x:v>main</x:v>
      </x:c>
      <x:c r="D46" s="83" t="str">
        <x:v>18aee2812adbad6f682bb59ff85180340a91f543</x:v>
      </x:c>
      <x:c r="E46" s="83" t="str">
        <x:v>저장소 전체</x:v>
      </x:c>
      <x:c r="F46" s="83" t="str">
        <x:v>-</x:v>
      </x:c>
      <x:c r="G46" s="83" t="str"/>
      <x:c r="H46" s="83" t="str">
        <x:v>-</x:v>
      </x:c>
      <x:c r="I46" s="83" t="str">
        <x:v>Auto Job Change</x:v>
      </x:c>
      <x:c r="J46" s="83" t="str">
        <x:v>미구현(직접 근거 없음)</x:v>
      </x:c>
      <x:c r="K46" s="84" t="n">
        <x:v>0.05</x:v>
      </x:c>
      <x:c r="L46" s="83" t="str">
        <x:v>Model/PPID 필드는 존재</x:v>
      </x:c>
      <x:c r="M46" s="83" t="str">
        <x:v>Recipe/Stage/Vision 동시 갱신 Sequence 근거 없음</x:v>
      </x:c>
      <x:c r="N46" s="83" t="str">
        <x:v>Release Build PASS(0 warnings/0 errors); Core/WPF Regression PASS</x:v>
      </x:c>
      <x:c r="O46" s="83" t="str">
        <x:v>2026-08-17</x:v>
      </x:c>
    </x:row>
    <x:row r="47" ht="42" customHeight="1">
      <x:c r="A47" s="83" t="str">
        <x:v>E-NO-TEG</x:v>
      </x:c>
      <x:c r="B47" s="83" t="str">
        <x:v>https://github.com/kjuws10-rgb/A3_LD_Process_SW_IPS.git</x:v>
      </x:c>
      <x:c r="C47" s="83" t="str">
        <x:v>main</x:v>
      </x:c>
      <x:c r="D47" s="83" t="str">
        <x:v>18aee2812adbad6f682bb59ff85180340a91f543</x:v>
      </x:c>
      <x:c r="E47" s="83" t="str">
        <x:v>저장소 전체</x:v>
      </x:c>
      <x:c r="F47" s="83" t="str">
        <x:v>-</x:v>
      </x:c>
      <x:c r="G47" s="83" t="str"/>
      <x:c r="H47" s="83" t="str">
        <x:v>-</x:v>
      </x:c>
      <x:c r="I47" s="83" t="str">
        <x:v>TEG</x:v>
      </x:c>
      <x:c r="J47" s="83" t="str">
        <x:v>미구현(직접 근거 없음)</x:v>
      </x:c>
      <x:c r="K47" s="84" t="n">
        <x:v>0.05</x:v>
      </x:c>
      <x:c r="L47" s="83" t="str">
        <x:v>Manual pattern 일반 기능만 확인</x:v>
      </x:c>
      <x:c r="M47" s="83" t="str">
        <x:v>TEG 전용 Recipe/위치/STEP 가공/검사 Sequence 근거 없음</x:v>
      </x:c>
      <x:c r="N47" s="83" t="str">
        <x:v>Release Build PASS(0 warnings/0 errors); Core/WPF Regression PASS</x:v>
      </x:c>
      <x:c r="O47" s="83" t="str">
        <x:v>2026-08-17</x:v>
      </x:c>
    </x:row>
    <x:row r="48" ht="42" customHeight="1">
      <x:c r="A48" s="83" t="str">
        <x:v>E-APC-PLACEHOLDER</x:v>
      </x:c>
      <x:c r="B48" s="83" t="str">
        <x:v>https://github.com/kjuws10-rgb/A3_LD_Process_SW_IPS.git</x:v>
      </x:c>
      <x:c r="C48" s="83" t="str">
        <x:v>main</x:v>
      </x:c>
      <x:c r="D48" s="83" t="str">
        <x:v>18aee2812adbad6f682bb59ff85180340a91f543</x:v>
      </x:c>
      <x:c r="E48" s="83" t="str">
        <x:v>Drilling.UI</x:v>
      </x:c>
      <x:c r="F48" s="83" t="str">
        <x:v>Drilling.UI/Menu/Menus/CMenuCorrection.cs</x:v>
      </x:c>
      <x:c r="G48" s="83" t="n">
        <x:v>283</x:v>
      </x:c>
      <x:c r="H48" s="83" t="str">
        <x:v>CMenuCorrection</x:v>
      </x:c>
      <x:c r="I48" s="83" t="str">
        <x:v>CreateApcIcrData</x:v>
      </x:c>
      <x:c r="J48" s="83" t="str">
        <x:v>UI/설정만 확인</x:v>
      </x:c>
      <x:c r="K48" s="84" t="n">
        <x:v>0.15</x:v>
      </x:c>
      <x:c r="L48" s="83" t="str">
        <x:v>APC/ICR 상태 카드와 입력 설명 표시</x:v>
      </x:c>
      <x:c r="M48" s="83" t="str">
        <x:v>파일 다운로드·유효기간·Recipe 일치·Offset 적용 로직 없음</x:v>
      </x:c>
      <x:c r="N48" s="83" t="str">
        <x:v>Release Build PASS(0 warnings/0 errors); Core/WPF Regression PASS</x:v>
      </x:c>
      <x:c r="O48" s="83" t="str">
        <x:v>2026-08-17</x:v>
      </x:c>
    </x:row>
    <x:row r="51" ht="30" customHeight="1">
      <x:c r="A51" s="16" t="str">
        <x:v>최근 Commit 이력</x:v>
      </x:c>
      <x:c r="B51" s="16" t="str">
        <x:v>일시</x:v>
      </x:c>
      <x:c r="C51" s="16" t="str">
        <x:v>작성자</x:v>
      </x:c>
      <x:c r="D51" s="16" t="str">
        <x:v>메시지</x:v>
      </x:c>
    </x:row>
    <x:row r="52" ht="42" customHeight="1">
      <x:c r="A52" s="83" t="str">
        <x:v>18aee2812adbad6f682bb59ff85180340a91f543</x:v>
      </x:c>
      <x:c r="B52" s="83" t="n">
        <x:v>46248.024733796294</x:v>
      </x:c>
      <x:c r="C52" s="83" t="str">
        <x:v>kjuws10-rgb</x:v>
      </x:c>
      <x:c r="D52" s="83" t="str">
        <x:v>Merge pull request #6 from kjuws10-rgb/agent/use-melsecnet-driver</x:v>
      </x:c>
    </x:row>
    <x:row r="53" ht="42" customHeight="1">
      <x:c r="A53" s="83" t="str">
        <x:v>e44752a91d114c1ea2cc4e87c6beb974c5d96ec5</x:v>
      </x:c>
      <x:c r="B53" s="83" t="n">
        <x:v>46248.024513888886</x:v>
      </x:c>
      <x:c r="C53" s="83" t="str">
        <x:v>jungwoo</x:v>
      </x:c>
      <x:c r="D53" s="83" t="str">
        <x:v>docs: link MelsecNet pull request</x:v>
      </x:c>
    </x:row>
    <x:row r="54" ht="42" customHeight="1">
      <x:c r="A54" s="83" t="str">
        <x:v>0cf9454762252c5f09b4550372cf43382502fde7</x:v>
      </x:c>
      <x:c r="B54" s="83" t="n">
        <x:v>46248.02379629629</x:v>
      </x:c>
      <x:c r="C54" s="83" t="str">
        <x:v>jungwoo</x:v>
      </x:c>
      <x:c r="D54" s="83" t="str">
        <x:v>docs: correct MelsecNet implementation commit</x:v>
      </x:c>
    </x:row>
    <x:row r="55" ht="42" customHeight="1">
      <x:c r="A55" s="83" t="str">
        <x:v>48babe19cdd3306a23bb35f72c3cc14e1ab3e272</x:v>
      </x:c>
      <x:c r="B55" s="83" t="n">
        <x:v>46248.023622685185</x:v>
      </x:c>
      <x:c r="C55" s="83" t="str">
        <x:v>jungwoo</x:v>
      </x:c>
      <x:c r="D55" s="83" t="str">
        <x:v>docs: record MelsecNet driver validation</x:v>
      </x:c>
    </x:row>
    <x:row r="56" ht="42" customHeight="1">
      <x:c r="A56" s="83" t="str">
        <x:v>8f25e4fe8bc2ab1aae6b0befdeea532807757aea</x:v>
      </x:c>
      <x:c r="B56" s="83" t="n">
        <x:v>46248.023460648146</x:v>
      </x:c>
      <x:c r="C56" s="83" t="str">
        <x:v>jungwoo</x:v>
      </x:c>
      <x:c r="D56" s="83" t="str">
        <x:v>refactor: replace MELSEC MC socket driver with MelsecNet</x:v>
      </x:c>
    </x:row>
    <x:row r="57" ht="42" customHeight="1">
      <x:c r="A57" s="83" t="str">
        <x:v>9e92b80e4d1df3a5d5cbe2938eb56773179665a5</x:v>
      </x:c>
      <x:c r="B57" s="83" t="n">
        <x:v>46248.00144675926</x:v>
      </x:c>
      <x:c r="C57" s="83" t="str">
        <x:v>kjuws10-rgb</x:v>
      </x:c>
      <x:c r="D57" s="83" t="str">
        <x:v>Merge pull request #5 from kjuws10-rgb/agent/improve-melsec-handshake</x:v>
      </x:c>
    </x:row>
    <x:row r="58" ht="42" customHeight="1">
      <x:c r="A58" s="83" t="str">
        <x:v>40e3ea5619583b1ef4a2883aa99ef417c6ef8356</x:v>
      </x:c>
      <x:c r="B58" s="83" t="n">
        <x:v>46248.00087962963</x:v>
      </x:c>
      <x:c r="C58" s="83" t="str">
        <x:v>jungwoo</x:v>
      </x:c>
      <x:c r="D58" s="83" t="str">
        <x:v>docs: record melsec validation pull request</x:v>
      </x:c>
    </x:row>
    <x:row r="59" ht="42" customHeight="1">
      <x:c r="A59" s="83" t="str">
        <x:v>0fd0e066294d211409a12c104664f2fbf56348c1</x:v>
      </x:c>
      <x:c r="B59" s="83" t="n">
        <x:v>46248.00016203704</x:v>
      </x:c>
      <x:c r="C59" s="83" t="str">
        <x:v>jungwoo</x:v>
      </x:c>
      <x:c r="D59" s="83" t="str">
        <x:v>refactor: harden melsec write confirmation</x:v>
      </x:c>
    </x:row>
    <x:row r="60" ht="42" customHeight="1">
      <x:c r="A60" s="83" t="str">
        <x:v>f14084613167f5da59810f30d90ff93018cefdcd</x:v>
      </x:c>
      <x:c r="B60" s="83" t="n">
        <x:v>46247.902974537035</x:v>
      </x:c>
      <x:c r="C60" s="83" t="str">
        <x:v>kjuws10-rgb</x:v>
      </x:c>
      <x:c r="D60" s="83" t="str">
        <x:v>Merge pull request #4 from kjuws10-rgb/agent/remove-async-task-thread</x:v>
      </x:c>
    </x:row>
    <x:row r="61" ht="42" customHeight="1">
      <x:c r="A61" s="83" t="str">
        <x:v>c7743ad7cad303d15370c52522e47a4a7aa30b58</x:v>
      </x:c>
      <x:c r="B61" s="83" t="n">
        <x:v>46247.90263888889</x:v>
      </x:c>
      <x:c r="C61" s="83" t="str">
        <x:v>jungwoo</x:v>
      </x:c>
      <x:c r="D61" s="83" t="str">
        <x:v>docs: record refactor pull request merge</x:v>
      </x:c>
    </x:row>
  </x:sheetData>
  <x:mergeCells>
    <x:mergeCell ref="A1:O1"/>
    <x:mergeCell ref="A2:O2"/>
  </x:mergeCells>
  <x:conditionalFormatting sqref="J6:J48">
    <x:cfRule type="containsText" dxfId="17" priority="1" operator="containsText" text="미구현"/>
    <x:cfRule type="containsText" dxfId="18" priority="2" operator="containsText" text="회귀시험"/>
  </x:conditionalFormatting>
  <x:pageMargins left="0.7" right="0.7" top="0.75" bottom="0.75" header="0.3" footer="0.3"/>
  <x:tableParts count="1">
    <x:tablePart xmlns:r="http://schemas.openxmlformats.org/officeDocument/2006/relationships" r:id="R06ac0c4f388d49b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  <x:selection pane="bottomLeft" activeCell="A6" sqref="A6"/>
    </x:sheetView>
  </x:sheetViews>
  <x:sheetFormatPr defaultRowHeight="15"/>
  <x:cols>
    <x:col min="1" max="1" width="12" hidden="0" customWidth="1"/>
    <x:col min="2" max="2" width="28" hidden="0" customWidth="1"/>
    <x:col min="3" max="3" width="34" hidden="0" customWidth="1"/>
    <x:col min="4" max="4" width="34" hidden="0" customWidth="1"/>
    <x:col min="5" max="5" width="16" hidden="0" customWidth="1"/>
    <x:col min="6" max="6" width="18" hidden="0" customWidth="1"/>
    <x:col min="7" max="7" width="12" hidden="0" customWidth="1"/>
    <x:col min="8" max="8" width="18" hidden="0" customWidth="1"/>
    <x:col min="9" max="9" width="10" hidden="0" customWidth="1"/>
    <x:col min="10" max="10" width="10" hidden="0" customWidth="1"/>
    <x:col min="11" max="11" width="2" hidden="0" customWidth="1"/>
    <x:col min="12" max="12" width="2" hidden="0" customWidth="1"/>
    <x:col min="13" max="13" width="10" hidden="0" customWidth="1"/>
    <x:col min="14" max="14" width="24" hidden="0" customWidth="1"/>
    <x:col min="15" max="15" width="30" hidden="0" customWidth="1"/>
    <x:col min="16" max="16" width="14" hidden="0" customWidth="1"/>
    <x:col min="17" max="17" width="10" hidden="0" customWidth="1"/>
    <x:col min="18" max="18" width="16" hidden="0" customWidth="1"/>
    <x:col min="19" max="19" width="16" hidden="0" customWidth="1"/>
    <x:col min="20" max="20" width="28" hidden="0" customWidth="1"/>
    <x:col min="21" max="21" width="10" hidden="0" customWidth="1"/>
    <x:col min="22" max="22" width="38" hidden="0" customWidth="1"/>
    <x:col min="23" max="23" width="26" hidden="0" customWidth="1"/>
    <x:col min="24" max="24" width="24" hidden="0" customWidth="1"/>
    <x:col min="25" max="25" width="12" hidden="0" customWidth="1"/>
  </x:cols>
  <x:sheetData>
    <x:row r="1" ht="30" customHeight="1">
      <x:c r="A1" s="62" t="str">
        <x:v>05 마일스톤·리스크·WBS Registry</x:v>
      </x:c>
      <x:c r="B1" s="63"/>
      <x:c r="C1" s="63"/>
      <x:c r="D1" s="63"/>
      <x:c r="E1" s="63"/>
      <x:c r="F1" s="63"/>
      <x:c r="G1" s="63"/>
      <x:c r="H1" s="63"/>
      <x:c r="I1" s="63"/>
      <x:c r="J1" s="63"/>
      <x:c r="K1" s="63"/>
      <x:c r="L1" s="63"/>
      <x:c r="M1" s="63"/>
      <x:c r="N1" s="63"/>
      <x:c r="O1" s="63"/>
      <x:c r="P1" s="63"/>
      <x:c r="Q1" s="63"/>
      <x:c r="R1" s="63"/>
      <x:c r="S1" s="63"/>
      <x:c r="T1" s="63"/>
      <x:c r="U1" s="63"/>
      <x:c r="V1" s="63"/>
      <x:c r="W1" s="63"/>
      <x:c r="X1" s="63"/>
      <x:c r="Y1" s="64"/>
    </x:row>
    <x:row r="2" ht="26" customHeight="1">
      <x:c r="A2" s="67" t="str">
        <x:v>Critical Path, 진입/완료조건, 의사결정 및 자동 집계용 WBS 원장을 한 시트에서 관리</x:v>
      </x:c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  <x:c r="X2" s="67"/>
      <x:c r="Y2" s="67"/>
    </x:row>
    <x:row r="3">
      <x:c r="A3" s="71" t="str">
        <x:v>추가 WBS</x:v>
      </x:c>
      <x:c r="B3" s="71" t="str"/>
      <x:c r="C3" s="71" t="str">
        <x:v>Critical Path WBS</x:v>
      </x:c>
      <x:c r="D3" s="71" t="str"/>
      <x:c r="E3" s="71" t="str">
        <x:v>P1 WBS</x:v>
      </x:c>
      <x:c r="F3" s="71" t="str"/>
      <x:c r="G3" s="71" t="str">
        <x:v>전체 WBS</x:v>
      </x:c>
      <x:c r="H3" s="71" t="str"/>
      <x:c r="I3" s="71" t="str">
        <x:v>WBS 중복</x:v>
      </x:c>
      <x:c r="J3" s="71" t="str"/>
    </x:row>
    <x:row r="4">
      <x:c r="A4" s="74" t="n">
        <x:f>COUNTIF(P6:P79,"Gap 보완")</x:f>
        <x:v>51</x:v>
      </x:c>
      <x:c r="B4" s="74"/>
      <x:c r="C4" s="74" t="n">
        <x:f>COUNTIF(U6:U79,"Y")</x:f>
        <x:v>28</x:v>
      </x:c>
      <x:c r="D4" s="74"/>
      <x:c r="E4" s="74" t="n">
        <x:f>COUNTIF(Q6:Q79,"P1")</x:f>
        <x:v>65</x:v>
      </x:c>
      <x:c r="F4" s="74"/>
      <x:c r="G4" s="74" t="n">
        <x:f>COUNTA(M6:M79)</x:f>
        <x:v>74</x:v>
      </x:c>
      <x:c r="H4" s="74"/>
      <x:c r="I4" s="74"/>
      <x:c r="J4" s="74" t="n">
        <x:f>COUNTIF(Y6:Y79,"중복")</x:f>
        <x:v>0</x:v>
      </x:c>
    </x:row>
    <x:row r="5" ht="30" customHeight="1">
      <x:c r="A5" s="16" t="str">
        <x:v>Milestone</x:v>
      </x:c>
      <x:c r="B5" s="16" t="str">
        <x:v>주요 Milestone</x:v>
      </x:c>
      <x:c r="C5" s="16" t="str">
        <x:v>진입조건</x:v>
      </x:c>
      <x:c r="D5" s="16" t="str">
        <x:v>완료조건</x:v>
      </x:c>
      <x:c r="E5" s="16" t="str">
        <x:v>목표 주차</x:v>
      </x:c>
      <x:c r="F5" s="16" t="str">
        <x:v>현재상태</x:v>
      </x:c>
      <x:c r="G5" s="16" t="str">
        <x:v>Critical Path</x:v>
      </x:c>
      <x:c r="H5" s="16" t="str">
        <x:v>담당/협의</x:v>
      </x:c>
      <x:c r="M5" s="16" t="str">
        <x:v>WBS ID</x:v>
      </x:c>
      <x:c r="N5" s="16" t="str">
        <x:v>Module</x:v>
      </x:c>
      <x:c r="O5" s="16" t="str">
        <x:v>Item</x:v>
      </x:c>
      <x:c r="P5" s="16" t="str">
        <x:v>WBS 유형</x:v>
      </x:c>
      <x:c r="Q5" s="16" t="str">
        <x:v>우선순위</x:v>
      </x:c>
      <x:c r="R5" s="16" t="str">
        <x:v>계획 시작</x:v>
      </x:c>
      <x:c r="S5" s="16" t="str">
        <x:v>계획 종료</x:v>
      </x:c>
      <x:c r="T5" s="16" t="str">
        <x:v>의존 WBS</x:v>
      </x:c>
      <x:c r="U5" s="16" t="str">
        <x:v>Critical</x:v>
      </x:c>
      <x:c r="V5" s="16" t="str">
        <x:v>리스크</x:v>
      </x:c>
      <x:c r="W5" s="16" t="str">
        <x:v>고객 요구ID</x:v>
      </x:c>
      <x:c r="X5" s="16" t="str">
        <x:v>내부 번호</x:v>
      </x:c>
      <x:c r="Y5" s="16" t="str">
        <x:v>WBS 중복</x:v>
      </x:c>
    </x:row>
    <x:row r="6" ht="42" customHeight="1">
      <x:c r="A6" s="83" t="str">
        <x:v>M1</x:v>
      </x:c>
      <x:c r="B6" s="83" t="str">
        <x:v>요구·아키텍처 Baseline</x:v>
      </x:c>
      <x:c r="C6" s="83" t="str">
        <x:v>51개 원문/내부 120개/Git 기준선 연결</x:v>
      </x:c>
      <x:c r="D6" s="83" t="str">
        <x:v>좌표·통신·인수기준 승인</x:v>
      </x:c>
      <x:c r="E6" s="83" t="str">
        <x:v>26' 8월 4주</x:v>
      </x:c>
      <x:c r="F6" s="83" t="str">
        <x:v>진행 중</x:v>
      </x:c>
      <x:c r="G6" s="83" t="str">
        <x:v>Y</x:v>
      </x:c>
      <x:c r="H6" s="83" t="str">
        <x:v>PM/전체</x:v>
      </x:c>
      <x:c r="M6" s="83" t="str">
        <x:v>01-01</x:v>
      </x:c>
      <x:c r="N6" s="83" t="str">
        <x:v>공통 사양 및 시스템 설계</x:v>
      </x:c>
      <x:c r="O6" s="83" t="str">
        <x:v>고객 요구사항 Baseline 확정</x:v>
      </x:c>
      <x:c r="P6" s="83" t="str">
        <x:v>Gap 보완</x:v>
      </x:c>
      <x:c r="Q6" s="83" t="str">
        <x:v>P1</x:v>
      </x:c>
      <x:c r="R6" s="83" t="str">
        <x:v>26' 6월 1주</x:v>
      </x:c>
      <x:c r="S6" s="83" t="str">
        <x:v>26' 8월 4주</x:v>
      </x:c>
      <x:c r="T6" s="83" t="str"/>
      <x:c r="U6" s="83" t="str">
        <x:v>Y</x:v>
      </x:c>
      <x:c r="V6" s="83" t="str">
        <x:v>고객 검토결과·인수기준 미확정</x:v>
      </x:c>
      <x:c r="W6" s="83" t="str">
        <x:v>AM-001, AM-002, AM-003, AM-004, AM-005, AM-006, AM-007, AM-008, AM-009, AM-010, AM-011, AM-012, AM-013, AM-014, AM-015, AM-016, MM-001, MM-002, MM-003, MM-004, MM-005, MM-006, MM-007, MM-008, MM-009, RD-001, RD-002, RD-003, RD-004, RD-005, RD-006, RD-007, IC-001, IC-002, IC-003, IC-004, IC-005, IC-006, IC-007, IC-008, IC-009, IC-010, IC-011, SS-001, SS-002, SS-003, SS-004, SS-005, SS-006, SS-007, SS-008</x:v>
      </x:c>
      <x:c r="X6" s="83" t="str"/>
      <x:c r="Y6" s="83" t="str">
        <x:f>IF(COUNTIF($M$6:$M$79,M6)=1,"정상","중복")</x:f>
        <x:v>정상</x:v>
      </x:c>
    </x:row>
    <x:row r="7" ht="42" customHeight="1">
      <x:c r="A7" s="83" t="str">
        <x:v>M2</x:v>
      </x:c>
      <x:c r="B7" s="83" t="str">
        <x:v>P1 Code Complete</x:v>
      </x:c>
      <x:c r="C7" s="83" t="str">
        <x:v>P1 사양·장비 Driver 가용</x:v>
      </x:c>
      <x:c r="D7" s="83" t="str">
        <x:v>Gap WBS 코드/회귀 PASS</x:v>
      </x:c>
      <x:c r="E7" s="83" t="str">
        <x:v>26' 11월 1주</x:v>
      </x:c>
      <x:c r="F7" s="83" t="str">
        <x:v>예정</x:v>
      </x:c>
      <x:c r="G7" s="83" t="str">
        <x:v>Y</x:v>
      </x:c>
      <x:c r="H7" s="83" t="str">
        <x:v>PM/전체</x:v>
      </x:c>
      <x:c r="M7" s="83" t="str">
        <x:v>01-02</x:v>
      </x:c>
      <x:c r="N7" s="83" t="str">
        <x:v>공통 사양 및 시스템 설계</x:v>
      </x:c>
      <x:c r="O7" s="83" t="str">
        <x:v>설비 전체 Flow Chart</x:v>
      </x:c>
      <x:c r="P7" s="83" t="str">
        <x:v>내부 필수</x:v>
      </x:c>
      <x:c r="Q7" s="83" t="str">
        <x:v>P1</x:v>
      </x:c>
      <x:c r="R7" s="83" t="str">
        <x:v>26' 6월 1주</x:v>
      </x:c>
      <x:c r="S7" s="83" t="str">
        <x:v>26' 9월 1주</x:v>
      </x:c>
      <x:c r="T7" s="83" t="str">
        <x:v>SS/입력 Gate: 01-01</x:v>
      </x:c>
      <x:c r="U7" s="83" t="str"/>
      <x:c r="V7" s="83" t="str">
        <x:v>외부 장비별 응답시간 미확정</x:v>
      </x:c>
      <x:c r="W7" s="83" t="str">
        <x:v>AM-011</x:v>
      </x:c>
      <x:c r="X7" s="83" t="str">
        <x:v>47, 58</x:v>
      </x:c>
      <x:c r="Y7" s="83" t="str">
        <x:f>IF(COUNTIF($M$6:$M$79,M7)=1,"정상","중복")</x:f>
        <x:v>정상</x:v>
      </x:c>
    </x:row>
    <x:row r="8" ht="42" customHeight="1">
      <x:c r="A8" s="83" t="str">
        <x:v>M3</x:v>
      </x:c>
      <x:c r="B8" s="83" t="str">
        <x:v>장비 통합 Ready</x:v>
      </x:c>
      <x:c r="C8" s="83" t="str">
        <x:v>통신/Sequence/Calibration 단위 PASS</x:v>
      </x:c>
      <x:c r="D8" s="83" t="str">
        <x:v>실장비 E2E·1/8 Head PASS</x:v>
      </x:c>
      <x:c r="E8" s="83" t="str">
        <x:v>26' 12월 1주</x:v>
      </x:c>
      <x:c r="F8" s="83" t="str">
        <x:v>예정</x:v>
      </x:c>
      <x:c r="G8" s="83" t="str">
        <x:v>Y</x:v>
      </x:c>
      <x:c r="H8" s="83" t="str">
        <x:v>PM/전체</x:v>
      </x:c>
      <x:c r="M8" s="83" t="str">
        <x:v>01-03</x:v>
      </x:c>
      <x:c r="N8" s="83" t="str">
        <x:v>공통 사양 및 시스템 설계</x:v>
      </x:c>
      <x:c r="O8" s="83" t="str">
        <x:v>역할·상태 소유권 정의</x:v>
      </x:c>
      <x:c r="P8" s="83" t="str">
        <x:v>내부 필수</x:v>
      </x:c>
      <x:c r="Q8" s="83" t="str">
        <x:v>P1</x:v>
      </x:c>
      <x:c r="R8" s="83" t="str">
        <x:v>26' 6월 2주</x:v>
      </x:c>
      <x:c r="S8" s="83" t="str">
        <x:v>26' 9월 1주</x:v>
      </x:c>
      <x:c r="T8" s="83" t="str">
        <x:v>SS/입력 Gate: 01-02</x:v>
      </x:c>
      <x:c r="U8" s="83" t="str">
        <x:v>Y</x:v>
      </x:c>
      <x:c r="V8" s="83" t="str">
        <x:v>CIM/Server PC 상세사양 부재</x:v>
      </x:c>
      <x:c r="W8" s="83" t="str">
        <x:v>AM-003, AM-006</x:v>
      </x:c>
      <x:c r="X8" s="83" t="str">
        <x:v>22, 23, 24, 32, 33, 34</x:v>
      </x:c>
      <x:c r="Y8" s="83" t="str">
        <x:f>IF(COUNTIF($M$6:$M$79,M8)=1,"정상","중복")</x:f>
        <x:v>정상</x:v>
      </x:c>
    </x:row>
    <x:row r="9" ht="42" customHeight="1">
      <x:c r="A9" s="83" t="str">
        <x:v>M4</x:v>
      </x:c>
      <x:c r="B9" s="83" t="str">
        <x:v>FAT 완료</x:v>
      </x:c>
      <x:c r="C9" s="83" t="str">
        <x:v>P1 Critical issue 0</x:v>
      </x:c>
      <x:c r="D9" s="83" t="str">
        <x:v>대표 Recipe·Recovery·Tact Witness PASS</x:v>
      </x:c>
      <x:c r="E9" s="83" t="str">
        <x:v>26' 12월 2주</x:v>
      </x:c>
      <x:c r="F9" s="83" t="str">
        <x:v>예정</x:v>
      </x:c>
      <x:c r="G9" s="83" t="str">
        <x:v>Y</x:v>
      </x:c>
      <x:c r="H9" s="83" t="str">
        <x:v>PM/전체</x:v>
      </x:c>
      <x:c r="M9" s="83" t="str">
        <x:v>01-04</x:v>
      </x:c>
      <x:c r="N9" s="83" t="str">
        <x:v>공통 사양 및 시스템 설계</x:v>
      </x:c>
      <x:c r="O9" s="83" t="str">
        <x:v>Component·Driver 목록 확정</x:v>
      </x:c>
      <x:c r="P9" s="83" t="str">
        <x:v>내부 필수</x:v>
      </x:c>
      <x:c r="Q9" s="83" t="str">
        <x:v>P1</x:v>
      </x:c>
      <x:c r="R9" s="83" t="str">
        <x:v>26' 6월 1주</x:v>
      </x:c>
      <x:c r="S9" s="83" t="str">
        <x:v>26' 8월 3주</x:v>
      </x:c>
      <x:c r="T9" s="83" t="str">
        <x:v>SS/입력 Gate: 01-03</x:v>
      </x:c>
      <x:c r="U9" s="83" t="str"/>
      <x:c r="V9" s="83" t="str">
        <x:v>DOE Tilt 모델 TBD·외부 SDK 라이선스</x:v>
      </x:c>
      <x:c r="W9" s="83" t="str">
        <x:v>SS-001, SS-007</x:v>
      </x:c>
      <x:c r="X9" s="83" t="str">
        <x:v>22, 34, 102, 103, 104, 105</x:v>
      </x:c>
      <x:c r="Y9" s="83" t="str">
        <x:f>IF(COUNTIF($M$6:$M$79,M9)=1,"정상","중복")</x:f>
        <x:v>정상</x:v>
      </x:c>
    </x:row>
    <x:row r="10" ht="42" customHeight="1">
      <x:c r="A10" s="83" t="str">
        <x:v>M5</x:v>
      </x:c>
      <x:c r="B10" s="83" t="str">
        <x:v>고객 승인 Release</x:v>
      </x:c>
      <x:c r="C10" s="83" t="str">
        <x:v>SAT·문서·교육 완료</x:v>
      </x:c>
      <x:c r="D10" s="83" t="str">
        <x:v>51개 Traceability Sign-off</x:v>
      </x:c>
      <x:c r="E10" s="83" t="str">
        <x:v>26' 12월 4주</x:v>
      </x:c>
      <x:c r="F10" s="83" t="str">
        <x:v>예정</x:v>
      </x:c>
      <x:c r="G10" s="83" t="str">
        <x:v>Y</x:v>
      </x:c>
      <x:c r="H10" s="83" t="str">
        <x:v>PM/전체</x:v>
      </x:c>
      <x:c r="M10" s="83" t="str">
        <x:v>01-05</x:v>
      </x:c>
      <x:c r="N10" s="83" t="str">
        <x:v>공통 사양 및 시스템 설계</x:v>
      </x:c>
      <x:c r="O10" s="83" t="str">
        <x:v>좌표계·단위 사양서</x:v>
      </x:c>
      <x:c r="P10" s="83" t="str">
        <x:v>내부 필수</x:v>
      </x:c>
      <x:c r="Q10" s="83" t="str">
        <x:v>P1</x:v>
      </x:c>
      <x:c r="R10" s="83" t="str">
        <x:v>26' 6월 2주</x:v>
      </x:c>
      <x:c r="S10" s="83" t="str">
        <x:v>26' 9월 3주</x:v>
      </x:c>
      <x:c r="T10" s="83" t="str">
        <x:v>SS/입력 Gate: 01-01</x:v>
      </x:c>
      <x:c r="U10" s="83" t="str">
        <x:v>Y</x:v>
      </x:c>
      <x:c r="V10" s="83" t="str">
        <x:v>설치 실측값 필요</x:v>
      </x:c>
      <x:c r="W10" s="83" t="str">
        <x:v>AM-005, RD-007, IC-006</x:v>
      </x:c>
      <x:c r="X10" s="83" t="str">
        <x:v>87, 89, 94, 117</x:v>
      </x:c>
      <x:c r="Y10" s="83" t="str">
        <x:f>IF(COUNTIF($M$6:$M$79,M10)=1,"정상","중복")</x:f>
        <x:v>정상</x:v>
      </x:c>
    </x:row>
    <x:row r="11" ht="42" customHeight="1">
      <x:c r="M11" s="83" t="str">
        <x:v>01-06</x:v>
      </x:c>
      <x:c r="N11" s="83" t="str">
        <x:v>공통 사양 및 시스템 설계</x:v>
      </x:c>
      <x:c r="O11" s="83" t="str">
        <x:v>품질·보안·성능 Baseline</x:v>
      </x:c>
      <x:c r="P11" s="83" t="str">
        <x:v>Gap 보완</x:v>
      </x:c>
      <x:c r="Q11" s="83" t="str">
        <x:v>P2</x:v>
      </x:c>
      <x:c r="R11" s="83" t="str">
        <x:v>26' 7월 3주</x:v>
      </x:c>
      <x:c r="S11" s="83" t="str">
        <x:v>26' 9월 4주</x:v>
      </x:c>
      <x:c r="T11" s="83" t="str">
        <x:v>SS/입력 Gate: 01-01</x:v>
      </x:c>
      <x:c r="U11" s="83" t="str"/>
      <x:c r="V11" s="83" t="str">
        <x:v>고객 승인 기준 미정</x:v>
      </x:c>
      <x:c r="W11" s="83" t="str">
        <x:v>SS-008</x:v>
      </x:c>
      <x:c r="X11" s="83" t="str">
        <x:v>10, 11, 41, 63, 100, 101</x:v>
      </x:c>
      <x:c r="Y11" s="83" t="str">
        <x:f>IF(COUNTIF($M$6:$M$79,M11)=1,"정상","중복")</x:f>
        <x:v>정상</x:v>
      </x:c>
    </x:row>
    <x:row r="12" ht="42" customHeight="1">
      <x:c r="M12" s="83" t="str">
        <x:v>02-01</x:v>
      </x:c>
      <x:c r="N12" s="83" t="str">
        <x:v>UI 및 모니터링</x:v>
      </x:c>
      <x:c r="O12" s="83" t="str">
        <x:v>Main/Auto 통합 화면</x:v>
      </x:c>
      <x:c r="P12" s="83" t="str">
        <x:v>Gap 보완</x:v>
      </x:c>
      <x:c r="Q12" s="83" t="str">
        <x:v>P1</x:v>
      </x:c>
      <x:c r="R12" s="83" t="str">
        <x:v>26' 6월 1주</x:v>
      </x:c>
      <x:c r="S12" s="83" t="str">
        <x:v>26' 9월 2주</x:v>
      </x:c>
      <x:c r="T12" s="83" t="str">
        <x:v>SS/입력 Gate: 01-02</x:v>
      </x:c>
      <x:c r="U12" s="83" t="str"/>
      <x:c r="V12" s="83" t="str">
        <x:v>실장비 갱신주기 미검증</x:v>
      </x:c>
      <x:c r="W12" s="83" t="str">
        <x:v>AM-001, AM-007, AM-008, AM-009</x:v>
      </x:c>
      <x:c r="X12" s="83" t="str">
        <x:v>1, 2, 47, 76</x:v>
      </x:c>
      <x:c r="Y12" s="83" t="str">
        <x:f>IF(COUNTIF($M$6:$M$79,M12)=1,"정상","중복")</x:f>
        <x:v>정상</x:v>
      </x:c>
    </x:row>
    <x:row r="13" ht="42" customHeight="1">
      <x:c r="A13" s="16" t="str">
        <x:v>Risk ID</x:v>
      </x:c>
      <x:c r="B13" s="16" t="str">
        <x:v>리스크</x:v>
      </x:c>
      <x:c r="C13" s="16" t="str">
        <x:v>영향</x:v>
      </x:c>
      <x:c r="D13" s="16" t="str">
        <x:v>대응방안</x:v>
      </x:c>
      <x:c r="E13" s="16" t="str">
        <x:v>담당/협의 주체</x:v>
      </x:c>
      <x:c r="F13" s="16" t="str">
        <x:v>현재상태</x:v>
      </x:c>
      <x:c r="G13" s="16" t="str">
        <x:v>의사결정 필요사항</x:v>
      </x:c>
      <x:c r="H13" s="16" t="str">
        <x:v>목표주차</x:v>
      </x:c>
      <x:c r="I13" s="16" t="str">
        <x:v>Critical</x:v>
      </x:c>
      <x:c r="M13" s="83" t="str">
        <x:v>02-02</x:v>
      </x:c>
      <x:c r="N13" s="83" t="str">
        <x:v>UI 및 모니터링</x:v>
      </x:c>
      <x:c r="O13" s="83" t="str">
        <x:v>Manual·Maintenance 화면</x:v>
      </x:c>
      <x:c r="P13" s="83" t="str">
        <x:v>Gap 보완</x:v>
      </x:c>
      <x:c r="Q13" s="83" t="str">
        <x:v>P1</x:v>
      </x:c>
      <x:c r="R13" s="83" t="str">
        <x:v>26' 6월 1주</x:v>
      </x:c>
      <x:c r="S13" s="83" t="str">
        <x:v>26' 9월 3주</x:v>
      </x:c>
      <x:c r="T13" s="83" t="str">
        <x:v>SS/입력 Gate: 01-04</x:v>
      </x:c>
      <x:c r="U13" s="83" t="str"/>
      <x:c r="V13" s="83" t="str">
        <x:v>수동출사 안전 승인 필요</x:v>
      </x:c>
      <x:c r="W13" s="83" t="str">
        <x:v>MM-001, MM-002, MM-004, MM-007, MM-008</x:v>
      </x:c>
      <x:c r="X13" s="83" t="str">
        <x:v>5, 6, 7, 77, 83, 84</x:v>
      </x:c>
      <x:c r="Y13" s="83" t="str">
        <x:f>IF(COUNTIF($M$6:$M$79,M13)=1,"정상","중복")</x:f>
        <x:v>정상</x:v>
      </x:c>
    </x:row>
    <x:row r="14" ht="42" customHeight="1">
      <x:c r="A14" s="83" t="str">
        <x:v>R-01</x:v>
      </x:c>
      <x:c r="B14" s="83" t="str">
        <x:v>Scanner Default Offset/Virtual Origin 미확정</x:v>
      </x:c>
      <x:c r="C14" s="83" t="str">
        <x:v>좌표 오차·8 Head 경계 누락</x:v>
      </x:c>
      <x:c r="D14" s="83" t="str">
        <x:v>08-02 사양 승인 및 설치 실측</x:v>
      </x:c>
      <x:c r="E14" s="83" t="str">
        <x:v>Process/Scanner/기구</x:v>
      </x:c>
      <x:c r="F14" s="83" t="str">
        <x:v>의사결정 필요</x:v>
      </x:c>
      <x:c r="G14" s="83" t="str">
        <x:v>Scanner Default Offset/Virtual Origin 미확정</x:v>
      </x:c>
      <x:c r="H14" s="83" t="str">
        <x:v>26' 9월 1주</x:v>
      </x:c>
      <x:c r="I14" s="83" t="str"/>
      <x:c r="M14" s="83" t="str">
        <x:v>02-03</x:v>
      </x:c>
      <x:c r="N14" s="83" t="str">
        <x:v>UI 및 모니터링</x:v>
      </x:c>
      <x:c r="O14" s="83" t="str">
        <x:v>Recipe·PPID 화면</x:v>
      </x:c>
      <x:c r="P14" s="83" t="str">
        <x:v>Gap 보완</x:v>
      </x:c>
      <x:c r="Q14" s="83" t="str">
        <x:v>P1</x:v>
      </x:c>
      <x:c r="R14" s="83" t="str">
        <x:v>26' 6월 1주</x:v>
      </x:c>
      <x:c r="S14" s="83" t="str">
        <x:v>26' 9월 4주</x:v>
      </x:c>
      <x:c r="T14" s="83" t="str">
        <x:v>SS/입력 Gate: 04-01</x:v>
      </x:c>
      <x:c r="U14" s="83" t="str"/>
      <x:c r="V14" s="83" t="str">
        <x:v>고객 Recipe 포맷 미동결</x:v>
      </x:c>
      <x:c r="W14" s="83" t="str">
        <x:v>RD-001, RD-002, RD-003</x:v>
      </x:c>
      <x:c r="X14" s="83" t="str">
        <x:v>8, 9, 93, 94, 98</x:v>
      </x:c>
      <x:c r="Y14" s="83" t="str">
        <x:f>IF(COUNTIF($M$6:$M$79,M14)=1,"정상","중복")</x:f>
        <x:v>정상</x:v>
      </x:c>
    </x:row>
    <x:row r="15" ht="42" customHeight="1">
      <x:c r="A15" s="83" t="str">
        <x:v>R-02</x:v>
      </x:c>
      <x:c r="B15" s="83" t="str">
        <x:v>Distortion·PP Rotation·Shift 적용순서 미확정</x:v>
      </x:c>
      <x:c r="C15" s="83" t="str">
        <x:v>보정값 중복/방향 오류</x:v>
      </x:c>
      <x:c r="D15" s="83" t="str">
        <x:v>08-05 Golden 좌표/잔차 시험</x:v>
      </x:c>
      <x:c r="E15" s="83" t="str">
        <x:v>Vision/Scanner/고객</x:v>
      </x:c>
      <x:c r="F15" s="83" t="str">
        <x:v>의사결정 필요</x:v>
      </x:c>
      <x:c r="G15" s="83" t="str">
        <x:v>Distortion·PP Rotation·Shift 적용순서 미확정</x:v>
      </x:c>
      <x:c r="H15" s="83" t="str">
        <x:v>26' 9월 2주</x:v>
      </x:c>
      <x:c r="I15" s="83" t="str"/>
      <x:c r="M15" s="83" t="str">
        <x:v>02-04</x:v>
      </x:c>
      <x:c r="N15" s="83" t="str">
        <x:v>UI 및 모니터링</x:v>
      </x:c>
      <x:c r="O15" s="83" t="str">
        <x:v>Setting·Alarm·History 화면</x:v>
      </x:c>
      <x:c r="P15" s="83" t="str">
        <x:v>Gap 보완</x:v>
      </x:c>
      <x:c r="Q15" s="83" t="str">
        <x:v>P1</x:v>
      </x:c>
      <x:c r="R15" s="83" t="str">
        <x:v>26' 6월 1주</x:v>
      </x:c>
      <x:c r="S15" s="83" t="str">
        <x:v>26' 9월 3주</x:v>
      </x:c>
      <x:c r="T15" s="83" t="str">
        <x:v>SS/입력 Gate: 10-01</x:v>
      </x:c>
      <x:c r="U15" s="83" t="str"/>
      <x:c r="V15" s="83" t="str">
        <x:v>보존정책 미정</x:v>
      </x:c>
      <x:c r="W15" s="83" t="str">
        <x:v>AM-009, AM-016, SS-008</x:v>
      </x:c>
      <x:c r="X15" s="83" t="str">
        <x:v>10, 11, 12, 13, 41, 69, 70, 71, 72, 73, 74</x:v>
      </x:c>
      <x:c r="Y15" s="83" t="str">
        <x:f>IF(COUNTIF($M$6:$M$79,M15)=1,"정상","중복")</x:f>
        <x:v>정상</x:v>
      </x:c>
    </x:row>
    <x:row r="16" ht="42" customHeight="1">
      <x:c r="A16" s="83" t="str">
        <x:v>R-03</x:v>
      </x:c>
      <x:c r="B16" s="83" t="str">
        <x:v>Shot Count/Delay·Lead-in/out 적용시점 미확정</x:v>
      </x:c>
      <x:c r="C16" s="83" t="str">
        <x:v>Tact·가공품질 저하</x:v>
      </x:c>
      <x:c r="D16" s="83" t="str">
        <x:v>08-07 파형/샘플 가공 검증</x:v>
      </x:c>
      <x:c r="E16" s="83" t="str">
        <x:v>Laser/Scanner/공정</x:v>
      </x:c>
      <x:c r="F16" s="83" t="str">
        <x:v>의사결정 필요</x:v>
      </x:c>
      <x:c r="G16" s="83" t="str">
        <x:v>Shot Count/Delay·Lead-in/out 적용시점 미확정</x:v>
      </x:c>
      <x:c r="H16" s="83" t="str">
        <x:v>26' 9월 3주</x:v>
      </x:c>
      <x:c r="I16" s="83" t="str"/>
      <x:c r="M16" s="83" t="str">
        <x:v>02-05</x:v>
      </x:c>
      <x:c r="N16" s="83" t="str">
        <x:v>UI 및 모니터링</x:v>
      </x:c>
      <x:c r="O16" s="83" t="str">
        <x:v>Monitor·통신 상태 화면</x:v>
      </x:c>
      <x:c r="P16" s="83" t="str">
        <x:v>Gap 보완</x:v>
      </x:c>
      <x:c r="Q16" s="83" t="str">
        <x:v>P1</x:v>
      </x:c>
      <x:c r="R16" s="83" t="str">
        <x:v>26' 6월 2주</x:v>
      </x:c>
      <x:c r="S16" s="83" t="str">
        <x:v>26' 9월 4주</x:v>
      </x:c>
      <x:c r="T16" s="83" t="str">
        <x:v>SS/입력 Gate: 03-01</x:v>
      </x:c>
      <x:c r="U16" s="83" t="str"/>
      <x:c r="V16" s="83" t="str">
        <x:v>폴링부하·갱신주기 검증 필요</x:v>
      </x:c>
      <x:c r="W16" s="83" t="str">
        <x:v>AM-002</x:v>
      </x:c>
      <x:c r="X16" s="83" t="str">
        <x:v>12, 13, 14, 15, 16, 17, 18, 19, 20</x:v>
      </x:c>
      <x:c r="Y16" s="83" t="str">
        <x:f>IF(COUNTIF($M$6:$M$79,M16)=1,"정상","중복")</x:f>
        <x:v>정상</x:v>
      </x:c>
    </x:row>
    <x:row r="17" ht="42" customHeight="1">
      <x:c r="A17" s="83" t="str">
        <x:v>R-04</x:v>
      </x:c>
      <x:c r="B17" s="83" t="str">
        <x:v>홀수·짝수 축부호/Cell 배분 설치 검증 미완</x:v>
      </x:c>
      <x:c r="C17" s="83" t="str">
        <x:v>Mirror 좌표·미가공 영역 발생</x:v>
      </x:c>
      <x:c r="D17" s="83" t="str">
        <x:v>08-03/08-08 단일→8 Head 자동검증</x:v>
      </x:c>
      <x:c r="E17" s="83" t="str">
        <x:v>Scanner/기구</x:v>
      </x:c>
      <x:c r="F17" s="83" t="str">
        <x:v>진행 중</x:v>
      </x:c>
      <x:c r="G17" s="83" t="str"/>
      <x:c r="H17" s="83" t="str">
        <x:v>26' 9월 4주</x:v>
      </x:c>
      <x:c r="I17" s="83" t="str"/>
      <x:c r="M17" s="83" t="str">
        <x:v>02-06</x:v>
      </x:c>
      <x:c r="N17" s="83" t="str">
        <x:v>UI 및 모니터링</x:v>
      </x:c>
      <x:c r="O17" s="83" t="str">
        <x:v>Optics·Power·Correction 화면</x:v>
      </x:c>
      <x:c r="P17" s="83" t="str">
        <x:v>Gap 보완</x:v>
      </x:c>
      <x:c r="Q17" s="83" t="str">
        <x:v>P1</x:v>
      </x:c>
      <x:c r="R17" s="83" t="str">
        <x:v>26' 6월 3주</x:v>
      </x:c>
      <x:c r="S17" s="83" t="str">
        <x:v>26' 10월 3주</x:v>
      </x:c>
      <x:c r="T17" s="83" t="str">
        <x:v>SS/입력 Gate: 09-02,09-04</x:v>
      </x:c>
      <x:c r="U17" s="83" t="str"/>
      <x:c r="V17" s="83" t="str">
        <x:v>APC 기능은 현재 UI placeholder</x:v>
      </x:c>
      <x:c r="W17" s="83" t="str">
        <x:v>AM-004, AM-010</x:v>
      </x:c>
      <x:c r="X17" s="83" t="str">
        <x:v>16, 17, 19, 20, 29, 30, 31, 102, 103, 105, 112</x:v>
      </x:c>
      <x:c r="Y17" s="83" t="str">
        <x:f>IF(COUNTIF($M$6:$M$79,M17)=1,"정상","중복")</x:f>
        <x:v>정상</x:v>
      </x:c>
    </x:row>
    <x:row r="18" ht="42" customHeight="1">
      <x:c r="A18" s="83" t="str">
        <x:v>R-05</x:v>
      </x:c>
      <x:c r="B18" s="83" t="str">
        <x:v>Align Key/첫 Pixel·Camera-to-Global 미확정</x:v>
      </x:c>
      <x:c r="C18" s="83" t="str">
        <x:v>전역 Offset 누적</x:v>
      </x:c>
      <x:c r="D18" s="83" t="str">
        <x:v>07-01~03 Calibration Grid 승인</x:v>
      </x:c>
      <x:c r="E18" s="83" t="str">
        <x:v>Vision/고객</x:v>
      </x:c>
      <x:c r="F18" s="83" t="str">
        <x:v>의사결정 필요</x:v>
      </x:c>
      <x:c r="G18" s="83" t="str">
        <x:v>Align Key/첫 Pixel·Camera-to-Global 미확정</x:v>
      </x:c>
      <x:c r="H18" s="83" t="str">
        <x:v>26' 10월 1주</x:v>
      </x:c>
      <x:c r="I18" s="83" t="str"/>
      <x:c r="M18" s="83" t="str">
        <x:v>03-01</x:v>
      </x:c>
      <x:c r="N18" s="83" t="str">
        <x:v>통신 및 인터페이스</x:v>
      </x:c>
      <x:c r="O18" s="83" t="str">
        <x:v>PLC/Melsec Driver·Map</x:v>
      </x:c>
      <x:c r="P18" s="83" t="str">
        <x:v>Gap 보완</x:v>
      </x:c>
      <x:c r="Q18" s="83" t="str">
        <x:v>P1</x:v>
      </x:c>
      <x:c r="R18" s="83" t="str">
        <x:v>26' 6월 1주</x:v>
      </x:c>
      <x:c r="S18" s="83" t="str">
        <x:v>26' 9월 1주</x:v>
      </x:c>
      <x:c r="T18" s="83" t="str">
        <x:v>SS/입력 Gate: 01-03</x:v>
      </x:c>
      <x:c r="U18" s="83" t="str">
        <x:v>Y</x:v>
      </x:c>
      <x:c r="V18" s="83" t="str">
        <x:v>실 PLC Map·scan time 검증 필요</x:v>
      </x:c>
      <x:c r="W18" s="83" t="str">
        <x:v>AM-001, AM-006</x:v>
      </x:c>
      <x:c r="X18" s="83" t="str">
        <x:v>24, 106, 107</x:v>
      </x:c>
      <x:c r="Y18" s="83" t="str">
        <x:f>IF(COUNTIF($M$6:$M$79,M18)=1,"정상","중복")</x:f>
        <x:v>정상</x:v>
      </x:c>
    </x:row>
    <x:row r="19" ht="42" customHeight="1">
      <x:c r="A19" s="83" t="str">
        <x:v>R-06</x:v>
      </x:c>
      <x:c r="B19" s="83" t="str">
        <x:v>DOE 16 Branch/Review 기준 Branch 미확정</x:v>
      </x:c>
      <x:c r="C19" s="83" t="str">
        <x:v>검사 위치·APC 오적용</x:v>
      </x:c>
      <x:c r="D19" s="83" t="str">
        <x:v>07-04 기준점 표준/샘플 승인</x:v>
      </x:c>
      <x:c r="E19" s="83" t="str">
        <x:v>Optics/Vision/고객</x:v>
      </x:c>
      <x:c r="F19" s="83" t="str">
        <x:v>의사결정 필요</x:v>
      </x:c>
      <x:c r="G19" s="83" t="str">
        <x:v>DOE 16 Branch/Review 기준 Branch 미확정</x:v>
      </x:c>
      <x:c r="H19" s="83" t="str">
        <x:v>26' 10월 2주</x:v>
      </x:c>
      <x:c r="I19" s="83" t="str"/>
      <x:c r="M19" s="83" t="str">
        <x:v>03-02</x:v>
      </x:c>
      <x:c r="N19" s="83" t="str">
        <x:v>통신 및 인터페이스</x:v>
      </x:c>
      <x:c r="O19" s="83" t="str">
        <x:v>CIM 통신·Handshake</x:v>
      </x:c>
      <x:c r="P19" s="83" t="str">
        <x:v>Gap 보완</x:v>
      </x:c>
      <x:c r="Q19" s="83" t="str">
        <x:v>P1</x:v>
      </x:c>
      <x:c r="R19" s="83" t="str">
        <x:v>26' 8월 1주</x:v>
      </x:c>
      <x:c r="S19" s="83" t="str">
        <x:v>26' 10월 4주</x:v>
      </x:c>
      <x:c r="T19" s="83" t="str">
        <x:v>SS/입력 Gate: 01-03,04-03</x:v>
      </x:c>
      <x:c r="U19" s="83" t="str">
        <x:v>Y</x:v>
      </x:c>
      <x:c r="V19" s="83" t="str">
        <x:v>저장소에 전용 구현 근거 없음</x:v>
      </x:c>
      <x:c r="W19" s="83" t="str">
        <x:v>AM-003, RD-006</x:v>
      </x:c>
      <x:c r="X19" s="83" t="str">
        <x:v>108, 109, 110, 111</x:v>
      </x:c>
      <x:c r="Y19" s="83" t="str">
        <x:f>IF(COUNTIF($M$6:$M$79,M19)=1,"정상","중복")</x:f>
        <x:v>정상</x:v>
      </x:c>
    </x:row>
    <x:row r="20" ht="42" customHeight="1">
      <x:c r="A20" s="83" t="str">
        <x:v>R-07</x:v>
      </x:c>
      <x:c r="B20" s="83" t="str">
        <x:v>APC 유효기간·Recipe 일치·반복 종료조건 미확정</x:v>
      </x:c>
      <x:c r="C20" s="83" t="str">
        <x:v>과보정/잘못된 Recipe 적용</x:v>
      </x:c>
      <x:c r="D20" s="83" t="str">
        <x:v>09-04 Schema·Checksum·Tolerance 승인</x:v>
      </x:c>
      <x:c r="E20" s="83" t="str">
        <x:v>Laser/공정/고객</x:v>
      </x:c>
      <x:c r="F20" s="83" t="str">
        <x:v>의사결정 필요</x:v>
      </x:c>
      <x:c r="G20" s="83" t="str">
        <x:v>APC 유효기간·Recipe 일치·반복 종료조건 미확정</x:v>
      </x:c>
      <x:c r="H20" s="83" t="str">
        <x:v>26' 10월 3주</x:v>
      </x:c>
      <x:c r="I20" s="83" t="str"/>
      <x:c r="M20" s="83" t="str">
        <x:v>03-03</x:v>
      </x:c>
      <x:c r="N20" s="83" t="str">
        <x:v>통신 및 인터페이스</x:v>
      </x:c>
      <x:c r="O20" s="83" t="str">
        <x:v>Vision 통신</x:v>
      </x:c>
      <x:c r="P20" s="83" t="str">
        <x:v>Gap 보완</x:v>
      </x:c>
      <x:c r="Q20" s="83" t="str">
        <x:v>P1</x:v>
      </x:c>
      <x:c r="R20" s="83" t="str">
        <x:v>26' 6월 4주</x:v>
      </x:c>
      <x:c r="S20" s="83" t="str">
        <x:v>26' 10월 2주</x:v>
      </x:c>
      <x:c r="T20" s="83" t="str">
        <x:v>SS/입력 Gate: 01-03,07-03</x:v>
      </x:c>
      <x:c r="U20" s="83" t="str">
        <x:v>Y</x:v>
      </x:c>
      <x:c r="V20" s="83" t="str">
        <x:v>실 Vision Protocol 부재</x:v>
      </x:c>
      <x:c r="W20" s="83" t="str">
        <x:v>AM-005, IC-004</x:v>
      </x:c>
      <x:c r="X20" s="83" t="str">
        <x:v>33, 89, 90, 91</x:v>
      </x:c>
      <x:c r="Y20" s="83" t="str">
        <x:f>IF(COUNTIF($M$6:$M$79,M20)=1,"정상","중복")</x:f>
        <x:v>정상</x:v>
      </x:c>
    </x:row>
    <x:row r="21" ht="42" customHeight="1">
      <x:c r="A21" s="83" t="str">
        <x:v>R-08</x:v>
      </x:c>
      <x:c r="B21" s="83" t="str">
        <x:v>보호윈도우 교체판정 기준 미확정</x:v>
      </x:c>
      <x:c r="C21" s="83" t="str">
        <x:v>출력 Drift·불필요 교체</x:v>
      </x:c>
      <x:c r="D21" s="83" t="str">
        <x:v>Power Trend/ATT 사용량 임계값 DOE</x:v>
      </x:c>
      <x:c r="E21" s="83" t="str">
        <x:v>Optics/공정</x:v>
      </x:c>
      <x:c r="F21" s="83" t="str">
        <x:v>의사결정 필요</x:v>
      </x:c>
      <x:c r="G21" s="83" t="str">
        <x:v>보호윈도우 교체판정 기준 미확정</x:v>
      </x:c>
      <x:c r="H21" s="83" t="str">
        <x:v>26' 10월 4주</x:v>
      </x:c>
      <x:c r="I21" s="83" t="str"/>
      <x:c r="M21" s="83" t="str">
        <x:v>03-04</x:v>
      </x:c>
      <x:c r="N21" s="83" t="str">
        <x:v>통신 및 인터페이스</x:v>
      </x:c>
      <x:c r="O21" s="83" t="str">
        <x:v>Stage/ACS·XPS 통신</x:v>
      </x:c>
      <x:c r="P21" s="83" t="str">
        <x:v>Gap 보완</x:v>
      </x:c>
      <x:c r="Q21" s="83" t="str">
        <x:v>P1</x:v>
      </x:c>
      <x:c r="R21" s="83" t="str">
        <x:v>26' 6월 3주</x:v>
      </x:c>
      <x:c r="S21" s="83" t="str">
        <x:v>26' 10월 2주</x:v>
      </x:c>
      <x:c r="T21" s="83" t="str">
        <x:v>SS/입력 Gate: 01-03</x:v>
      </x:c>
      <x:c r="U21" s="83" t="str"/>
      <x:c r="V21" s="83" t="str">
        <x:v>실축 Group·Limit 사양 필요</x:v>
      </x:c>
      <x:c r="W21" s="83" t="str">
        <x:v>MM-001, MM-002</x:v>
      </x:c>
      <x:c r="X21" s="83" t="str">
        <x:v>25, 27, 34</x:v>
      </x:c>
      <x:c r="Y21" s="83" t="str">
        <x:f>IF(COUNTIF($M$6:$M$79,M21)=1,"정상","중복")</x:f>
        <x:v>정상</x:v>
      </x:c>
    </x:row>
    <x:row r="22" ht="42" customHeight="1">
      <x:c r="A22" s="83" t="str">
        <x:v>R-09</x:v>
      </x:c>
      <x:c r="B22" s="83" t="str">
        <x:v>CIM 전용 구현 근거 없음</x:v>
      </x:c>
      <x:c r="C22" s="83" t="str">
        <x:v>Job Change/이력/Host 통합 지연</x:v>
      </x:c>
      <x:c r="D22" s="83" t="str">
        <x:v>03-02 Protocol/Simulator 우선 개발</x:v>
      </x:c>
      <x:c r="E22" s="83" t="str">
        <x:v>CIM/고객</x:v>
      </x:c>
      <x:c r="F22" s="83" t="str">
        <x:v>Critical</x:v>
      </x:c>
      <x:c r="G22" s="83" t="str">
        <x:v>CIM 전용 구현 근거 없음</x:v>
      </x:c>
      <x:c r="H22" s="83" t="str">
        <x:v>26' 11월 1주</x:v>
      </x:c>
      <x:c r="I22" s="83" t="str">
        <x:v>Y</x:v>
      </x:c>
      <x:c r="M22" s="83" t="str">
        <x:v>03-05</x:v>
      </x:c>
      <x:c r="N22" s="83" t="str">
        <x:v>통신 및 인터페이스</x:v>
      </x:c>
      <x:c r="O22" s="83" t="str">
        <x:v>Scanner/Aerotech GL4 통신</x:v>
      </x:c>
      <x:c r="P22" s="83" t="str">
        <x:v>Gap 보완</x:v>
      </x:c>
      <x:c r="Q22" s="83" t="str">
        <x:v>P1</x:v>
      </x:c>
      <x:c r="R22" s="83" t="str">
        <x:v>26' 6월 2주</x:v>
      </x:c>
      <x:c r="S22" s="83" t="str">
        <x:v>26' 10월 4주</x:v>
      </x:c>
      <x:c r="T22" s="83" t="str">
        <x:v>SS/입력 Gate: 01-03,08-06</x:v>
      </x:c>
      <x:c r="U22" s="83" t="str">
        <x:v>Y</x:v>
      </x:c>
      <x:c r="V22" s="83" t="str">
        <x:v>8 Head GL4 실물 필요</x:v>
      </x:c>
      <x:c r="W22" s="83" t="str">
        <x:v>AM-011, SS-003</x:v>
      </x:c>
      <x:c r="X22" s="83" t="str">
        <x:v>34, 116</x:v>
      </x:c>
      <x:c r="Y22" s="83" t="str">
        <x:f>IF(COUNTIF($M$6:$M$79,M22)=1,"정상","중복")</x:f>
        <x:v>정상</x:v>
      </x:c>
    </x:row>
    <x:row r="23" ht="42" customHeight="1">
      <x:c r="A23" s="83" t="str">
        <x:v>R-10</x:v>
      </x:c>
      <x:c r="B23" s="83" t="str">
        <x:v>Timeout·재연결·로그 보존정책 미확정</x:v>
      </x:c>
      <x:c r="C23" s="83" t="str">
        <x:v>오동작·추적불가·Disk 포화</x:v>
      </x:c>
      <x:c r="D23" s="83" t="str">
        <x:v>03-07/10-03 공통정책 승인</x:v>
      </x:c>
      <x:c r="E23" s="83" t="str">
        <x:v>전체 Interface/IT</x:v>
      </x:c>
      <x:c r="F23" s="83" t="str">
        <x:v>의사결정 필요</x:v>
      </x:c>
      <x:c r="G23" s="83" t="str">
        <x:v>Timeout·재연결·로그 보존정책 미확정</x:v>
      </x:c>
      <x:c r="H23" s="83" t="str">
        <x:v>26' 11월 2주</x:v>
      </x:c>
      <x:c r="I23" s="83" t="str"/>
      <x:c r="M23" s="83" t="str">
        <x:v>03-06</x:v>
      </x:c>
      <x:c r="N23" s="83" t="str">
        <x:v>통신 및 인터페이스</x:v>
      </x:c>
      <x:c r="O23" s="83" t="str">
        <x:v>Laser·Optics 계측 통신</x:v>
      </x:c>
      <x:c r="P23" s="83" t="str">
        <x:v>Gap 보완</x:v>
      </x:c>
      <x:c r="Q23" s="83" t="str">
        <x:v>P1</x:v>
      </x:c>
      <x:c r="R23" s="83" t="str">
        <x:v>26' 6월 2주</x:v>
      </x:c>
      <x:c r="S23" s="83" t="str">
        <x:v>26' 11월 1주</x:v>
      </x:c>
      <x:c r="T23" s="83" t="str">
        <x:v>SS/입력 Gate: 01-04</x:v>
      </x:c>
      <x:c r="U23" s="83" t="str">
        <x:v>Y</x:v>
      </x:c>
      <x:c r="V23" s="83" t="str">
        <x:v>장비 입고·SDK 필요</x:v>
      </x:c>
      <x:c r="W23" s="83" t="str">
        <x:v>AM-004, AM-010, SS-001, SS-002, SS-005, SS-006</x:v>
      </x:c>
      <x:c r="X23" s="83" t="str">
        <x:v>22, 26, 28, 29, 30, 31, 102, 103, 104, 105</x:v>
      </x:c>
      <x:c r="Y23" s="83" t="str">
        <x:f>IF(COUNTIF($M$6:$M$79,M23)=1,"정상","중복")</x:f>
        <x:v>정상</x:v>
      </x:c>
    </x:row>
    <x:row r="24" ht="42" customHeight="1">
      <x:c r="A24" s="83" t="str">
        <x:v>R-11</x:v>
      </x:c>
      <x:c r="B24" s="83" t="str">
        <x:v>실장비·8 Head·장시간 시험 일정 미확정</x:v>
      </x:c>
      <x:c r="C24" s="83" t="str">
        <x:v>검증률 90% 이상 도달 불가</x:v>
      </x:c>
      <x:c r="D24" s="83" t="str">
        <x:v>장비 Slot·Witness 일정 조기 고정</x:v>
      </x:c>
      <x:c r="E24" s="83" t="str">
        <x:v>PM/장비/고객</x:v>
      </x:c>
      <x:c r="F24" s="83" t="str">
        <x:v>Critical</x:v>
      </x:c>
      <x:c r="G24" s="83" t="str">
        <x:v>실장비·8 Head·장시간 시험 일정 미확정</x:v>
      </x:c>
      <x:c r="H24" s="83" t="str">
        <x:v>26' 11월 3주</x:v>
      </x:c>
      <x:c r="I24" s="83" t="str">
        <x:v>Y</x:v>
      </x:c>
      <x:c r="M24" s="83" t="str">
        <x:v>03-07</x:v>
      </x:c>
      <x:c r="N24" s="83" t="str">
        <x:v>통신 및 인터페이스</x:v>
      </x:c>
      <x:c r="O24" s="83" t="str">
        <x:v>공통 Timeout·재연결 정책</x:v>
      </x:c>
      <x:c r="P24" s="83" t="str">
        <x:v>Gap 보완</x:v>
      </x:c>
      <x:c r="Q24" s="83" t="str">
        <x:v>P1</x:v>
      </x:c>
      <x:c r="R24" s="83" t="str">
        <x:v>26' 7월 1주</x:v>
      </x:c>
      <x:c r="S24" s="83" t="str">
        <x:v>26' 10월 1주</x:v>
      </x:c>
      <x:c r="T24" s="83" t="str">
        <x:v>SS/입력 Gate: 03-01~03-06</x:v>
      </x:c>
      <x:c r="U24" s="83" t="str"/>
      <x:c r="V24" s="83" t="str">
        <x:v>장비별 안전 재시도 범위 미정</x:v>
      </x:c>
      <x:c r="W24" s="83" t="str">
        <x:v>AM-006, AM-015, SS-007</x:v>
      </x:c>
      <x:c r="X24" s="83" t="str">
        <x:v>22, 23, 24, 32, 33, 34, 38, 67</x:v>
      </x:c>
      <x:c r="Y24" s="83" t="str">
        <x:f>IF(COUNTIF($M$6:$M$79,M24)=1,"정상","중복")</x:f>
        <x:v>정상</x:v>
      </x:c>
    </x:row>
    <x:row r="25" ht="42" customHeight="1">
      <x:c r="A25" s="83" t="str">
        <x:v>R-12</x:v>
      </x:c>
      <x:c r="B25" s="83" t="str">
        <x:v>고객 Tact·인수 정량기준 미확정</x:v>
      </x:c>
      <x:c r="C25" s="83" t="str">
        <x:v>Release 승인 지연</x:v>
      </x:c>
      <x:c r="D25" s="83" t="str">
        <x:v>01-06/12-03 수치 Baseline 승인</x:v>
      </x:c>
      <x:c r="E25" s="83" t="str">
        <x:v>PM/고객</x:v>
      </x:c>
      <x:c r="F25" s="83" t="str">
        <x:v>Critical</x:v>
      </x:c>
      <x:c r="G25" s="83" t="str">
        <x:v>고객 Tact·인수 정량기준 미확정</x:v>
      </x:c>
      <x:c r="H25" s="83" t="str">
        <x:v>26' 11월 4주</x:v>
      </x:c>
      <x:c r="I25" s="83" t="str">
        <x:v>Y</x:v>
      </x:c>
      <x:c r="M25" s="83" t="str">
        <x:v>04-01</x:v>
      </x:c>
      <x:c r="N25" s="83" t="str">
        <x:v>Recipe/PPID/File/Data</x:v>
      </x:c>
      <x:c r="O25" s="83" t="str">
        <x:v>Recipe CRUD·검증</x:v>
      </x:c>
      <x:c r="P25" s="83" t="str">
        <x:v>Gap 보완</x:v>
      </x:c>
      <x:c r="Q25" s="83" t="str">
        <x:v>P1</x:v>
      </x:c>
      <x:c r="R25" s="83" t="str">
        <x:v>26' 6월 1주</x:v>
      </x:c>
      <x:c r="S25" s="83" t="str">
        <x:v>26' 9월 3주</x:v>
      </x:c>
      <x:c r="T25" s="83" t="str">
        <x:v>SS/입력 Gate: 01-01</x:v>
      </x:c>
      <x:c r="U25" s="83" t="str"/>
      <x:c r="V25" s="83" t="str">
        <x:v>고객 샘플·상한/하한 미확정</x:v>
      </x:c>
      <x:c r="W25" s="83" t="str">
        <x:v>RD-001</x:v>
      </x:c>
      <x:c r="X25" s="83" t="str">
        <x:v>8, 40, 93, 95</x:v>
      </x:c>
      <x:c r="Y25" s="83" t="str">
        <x:f>IF(COUNTIF($M$6:$M$79,M25)=1,"정상","중복")</x:f>
        <x:v>정상</x:v>
      </x:c>
    </x:row>
    <x:row r="26" ht="42" customHeight="1">
      <x:c r="M26" s="83" t="str">
        <x:v>04-02</x:v>
      </x:c>
      <x:c r="N26" s="83" t="str">
        <x:v>Recipe/PPID/File/Data</x:v>
      </x:c>
      <x:c r="O26" s="83" t="str">
        <x:v>좌표·가공·보정 Data 모델</x:v>
      </x:c>
      <x:c r="P26" s="83" t="str">
        <x:v>Gap 보완</x:v>
      </x:c>
      <x:c r="Q26" s="83" t="str">
        <x:v>P1</x:v>
      </x:c>
      <x:c r="R26" s="83" t="str">
        <x:v>26' 6월 2주</x:v>
      </x:c>
      <x:c r="S26" s="83" t="str">
        <x:v>26' 10월 3주</x:v>
      </x:c>
      <x:c r="T26" s="83" t="str">
        <x:v>SS/입력 Gate: 01-05</x:v>
      </x:c>
      <x:c r="U26" s="83" t="str"/>
      <x:c r="V26" s="83" t="str">
        <x:v>기존/신규 포맷 Migration 필요</x:v>
      </x:c>
      <x:c r="W26" s="83" t="str">
        <x:v>RD-002, RD-003, RD-004, RD-007</x:v>
      </x:c>
      <x:c r="X26" s="83" t="str">
        <x:v>9, 39, 94, 96, 97, 98, 99, 113, 116, 117</x:v>
      </x:c>
      <x:c r="Y26" s="83" t="str">
        <x:f>IF(COUNTIF($M$6:$M$79,M26)=1,"정상","중복")</x:f>
        <x:v>정상</x:v>
      </x:c>
    </x:row>
    <x:row r="27" ht="42" customHeight="1">
      <x:c r="M27" s="83" t="str">
        <x:v>04-03</x:v>
      </x:c>
      <x:c r="N27" s="83" t="str">
        <x:v>Recipe/PPID/File/Data</x:v>
      </x:c>
      <x:c r="O27" s="83" t="str">
        <x:v>PPID·Model·Job Change 데이터</x:v>
      </x:c>
      <x:c r="P27" s="83" t="str">
        <x:v>Gap 보완</x:v>
      </x:c>
      <x:c r="Q27" s="83" t="str">
        <x:v>P1</x:v>
      </x:c>
      <x:c r="R27" s="83" t="str">
        <x:v>26' 8월 2주</x:v>
      </x:c>
      <x:c r="S27" s="83" t="str">
        <x:v>26' 11월 1주</x:v>
      </x:c>
      <x:c r="T27" s="83" t="str">
        <x:v>SS/입력 Gate: 03-02,04-01</x:v>
      </x:c>
      <x:c r="U27" s="83" t="str"/>
      <x:c r="V27" s="83" t="str">
        <x:v>전용 구현 근거 없음</x:v>
      </x:c>
      <x:c r="W27" s="83" t="str">
        <x:v>RD-006, AM-014</x:v>
      </x:c>
      <x:c r="X27" s="83" t="str">
        <x:v>40, 93, 106, 108, 110, 118, 119, 120</x:v>
      </x:c>
      <x:c r="Y27" s="83" t="str">
        <x:f>IF(COUNTIF($M$6:$M$79,M27)=1,"정상","중복")</x:f>
        <x:v>정상</x:v>
      </x:c>
    </x:row>
    <x:row r="28" ht="42" customHeight="1">
      <x:c r="M28" s="83" t="str">
        <x:v>04-04</x:v>
      </x:c>
      <x:c r="N28" s="83" t="str">
        <x:v>Recipe/PPID/File/Data</x:v>
      </x:c>
      <x:c r="O28" s="83" t="str">
        <x:v>Product·Inspection·통계 데이터</x:v>
      </x:c>
      <x:c r="P28" s="83" t="str">
        <x:v>Gap 보완</x:v>
      </x:c>
      <x:c r="Q28" s="83" t="str">
        <x:v>P2</x:v>
      </x:c>
      <x:c r="R28" s="83" t="str">
        <x:v>26' 7월 2주</x:v>
      </x:c>
      <x:c r="S28" s="83" t="str">
        <x:v>26' 11월 1주</x:v>
      </x:c>
      <x:c r="T28" s="83" t="str">
        <x:v>SS/입력 Gate: 03-02,07-05</x:v>
      </x:c>
      <x:c r="U28" s="83" t="str"/>
      <x:c r="V28" s="83" t="str">
        <x:v>CIM/Server Schema 미정</x:v>
      </x:c>
      <x:c r="W28" s="83" t="str">
        <x:v>AM-016, IC-004</x:v>
      </x:c>
      <x:c r="X28" s="83" t="str">
        <x:v>45, 46, 69, 70, 74</x:v>
      </x:c>
      <x:c r="Y28" s="83" t="str">
        <x:f>IF(COUNTIF($M$6:$M$79,M28)=1,"정상","중복")</x:f>
        <x:v>정상</x:v>
      </x:c>
    </x:row>
    <x:row r="29" ht="42" customHeight="1">
      <x:c r="M29" s="83" t="str">
        <x:v>04-05</x:v>
      </x:c>
      <x:c r="N29" s="83" t="str">
        <x:v>Recipe/PPID/File/Data</x:v>
      </x:c>
      <x:c r="O29" s="83" t="str">
        <x:v>Recipe 변경이력·승인</x:v>
      </x:c>
      <x:c r="P29" s="83" t="str">
        <x:v>Gap 보완</x:v>
      </x:c>
      <x:c r="Q29" s="83" t="str">
        <x:v>P2</x:v>
      </x:c>
      <x:c r="R29" s="83" t="str">
        <x:v>26' 7월 1주</x:v>
      </x:c>
      <x:c r="S29" s="83" t="str">
        <x:v>26' 10월 2주</x:v>
      </x:c>
      <x:c r="T29" s="83" t="str">
        <x:v>SS/입력 Gate: 04-01</x:v>
      </x:c>
      <x:c r="U29" s="83" t="str"/>
      <x:c r="V29" s="83" t="str">
        <x:v>사용자·승인 권한정책 미정</x:v>
      </x:c>
      <x:c r="W29" s="83" t="str">
        <x:v>RD-003, SS-008</x:v>
      </x:c>
      <x:c r="X29" s="83" t="str">
        <x:v>41, 69</x:v>
      </x:c>
      <x:c r="Y29" s="83" t="str">
        <x:f>IF(COUNTIF($M$6:$M$79,M29)=1,"정상","중복")</x:f>
        <x:v>정상</x:v>
      </x:c>
    </x:row>
    <x:row r="30" ht="42" customHeight="1">
      <x:c r="M30" s="83" t="str">
        <x:v>04-06</x:v>
      </x:c>
      <x:c r="N30" s="83" t="str">
        <x:v>Recipe/PPID/File/Data</x:v>
      </x:c>
      <x:c r="O30" s="83" t="str">
        <x:v>설정 백업·복구·보존</x:v>
      </x:c>
      <x:c r="P30" s="83" t="str">
        <x:v>Gap 보완</x:v>
      </x:c>
      <x:c r="Q30" s="83" t="str">
        <x:v>P2</x:v>
      </x:c>
      <x:c r="R30" s="83" t="str">
        <x:v>26' 8월 1주</x:v>
      </x:c>
      <x:c r="S30" s="83" t="str">
        <x:v>26' 11월 3주</x:v>
      </x:c>
      <x:c r="T30" s="83" t="str">
        <x:v>SS/입력 Gate: 04-01,10-03</x:v>
      </x:c>
      <x:c r="U30" s="83" t="str"/>
      <x:c r="V30" s="83" t="str">
        <x:v>Server 저장소와 보존기간 미정</x:v>
      </x:c>
      <x:c r="W30" s="83" t="str">
        <x:v>AM-016, SS-008</x:v>
      </x:c>
      <x:c r="X30" s="83" t="str">
        <x:v>10, 11, 41, 100, 101, 112</x:v>
      </x:c>
      <x:c r="Y30" s="83" t="str">
        <x:f>IF(COUNTIF($M$6:$M$79,M30)=1,"정상","중복")</x:f>
        <x:v>정상</x:v>
      </x:c>
    </x:row>
    <x:row r="31" ht="42" customHeight="1">
      <x:c r="M31" s="83" t="str">
        <x:v>05-01</x:v>
      </x:c>
      <x:c r="N31" s="83" t="str">
        <x:v>Auto/Step/Recovery Sequence</x:v>
      </x:c>
      <x:c r="O31" s="83" t="str">
        <x:v>Precheck·Ready Sequence</x:v>
      </x:c>
      <x:c r="P31" s="83" t="str">
        <x:v>Gap 보완</x:v>
      </x:c>
      <x:c r="Q31" s="83" t="str">
        <x:v>P1</x:v>
      </x:c>
      <x:c r="R31" s="83" t="str">
        <x:v>26' 6월 2주</x:v>
      </x:c>
      <x:c r="S31" s="83" t="str">
        <x:v>26' 9월 4주</x:v>
      </x:c>
      <x:c r="T31" s="83" t="str">
        <x:v>SS/입력 Gate: 01-02,10-01</x:v>
      </x:c>
      <x:c r="U31" s="83" t="str"/>
      <x:c r="V31" s="83" t="str">
        <x:v>최종 I/O List 미확정</x:v>
      </x:c>
      <x:c r="W31" s="83" t="str">
        <x:v>AM-007, AM-011</x:v>
      </x:c>
      <x:c r="X31" s="83" t="str">
        <x:v>47, 48, 63, 64, 65</x:v>
      </x:c>
      <x:c r="Y31" s="83" t="str">
        <x:f>IF(COUNTIF($M$6:$M$79,M31)=1,"정상","중복")</x:f>
        <x:v>정상</x:v>
      </x:c>
    </x:row>
    <x:row r="32" ht="42" customHeight="1">
      <x:c r="M32" s="83" t="str">
        <x:v>05-02</x:v>
      </x:c>
      <x:c r="N32" s="83" t="str">
        <x:v>Auto/Step/Recovery Sequence</x:v>
      </x:c>
      <x:c r="O32" s="83" t="str">
        <x:v>Auto·Step 전체 Sequence</x:v>
      </x:c>
      <x:c r="P32" s="83" t="str">
        <x:v>Gap 보완</x:v>
      </x:c>
      <x:c r="Q32" s="83" t="str">
        <x:v>P1</x:v>
      </x:c>
      <x:c r="R32" s="83" t="str">
        <x:v>26' 6월 3주</x:v>
      </x:c>
      <x:c r="S32" s="83" t="str">
        <x:v>26' 11월 2주</x:v>
      </x:c>
      <x:c r="T32" s="83" t="str">
        <x:v>SS/입력 Gate: 05-01,07-01,08-06,09-02</x:v>
      </x:c>
      <x:c r="U32" s="83" t="str">
        <x:v>Y</x:v>
      </x:c>
      <x:c r="V32" s="83" t="str">
        <x:v>Stage/Vision/8 Head 실물 통합 필요</x:v>
      </x:c>
      <x:c r="W32" s="83" t="str">
        <x:v>AM-008, AM-011</x:v>
      </x:c>
      <x:c r="X32" s="83" t="str">
        <x:v>47, 48, 49, 50, 51, 52, 53, 54, 55, 56, 57, 76</x:v>
      </x:c>
      <x:c r="Y32" s="83" t="str">
        <x:f>IF(COUNTIF($M$6:$M$79,M32)=1,"정상","중복")</x:f>
        <x:v>정상</x:v>
      </x:c>
    </x:row>
    <x:row r="33" ht="42" customHeight="1">
      <x:c r="M33" s="83" t="str">
        <x:v>05-03</x:v>
      </x:c>
      <x:c r="N33" s="83" t="str">
        <x:v>Auto/Step/Recovery Sequence</x:v>
      </x:c>
      <x:c r="O33" s="83" t="str">
        <x:v>Pause·Stop·Reset·Recovery</x:v>
      </x:c>
      <x:c r="P33" s="83" t="str">
        <x:v>Gap 보완</x:v>
      </x:c>
      <x:c r="Q33" s="83" t="str">
        <x:v>P1</x:v>
      </x:c>
      <x:c r="R33" s="83" t="str">
        <x:v>26' 7월 2주</x:v>
      </x:c>
      <x:c r="S33" s="83" t="str">
        <x:v>26' 11월 2주</x:v>
      </x:c>
      <x:c r="T33" s="83" t="str">
        <x:v>SS/입력 Gate: 05-02,10-02</x:v>
      </x:c>
      <x:c r="U33" s="83" t="str">
        <x:v>Y</x:v>
      </x:c>
      <x:c r="V33" s="83" t="str">
        <x:v>재가공·중단점 정책 미정</x:v>
      </x:c>
      <x:c r="W33" s="83" t="str">
        <x:v>AM-013</x:v>
      </x:c>
      <x:c r="X33" s="83" t="str">
        <x:v>58, 59, 60, 61, 62, 66, 67, 68</x:v>
      </x:c>
      <x:c r="Y33" s="83" t="str">
        <x:f>IF(COUNTIF($M$6:$M$79,M33)=1,"정상","중복")</x:f>
        <x:v>정상</x:v>
      </x:c>
    </x:row>
    <x:row r="34" ht="42" customHeight="1">
      <x:c r="M34" s="83" t="str">
        <x:v>05-04</x:v>
      </x:c>
      <x:c r="N34" s="83" t="str">
        <x:v>Auto/Step/Recovery Sequence</x:v>
      </x:c>
      <x:c r="O34" s="83" t="str">
        <x:v>보호윈도우 교체 Sequence</x:v>
      </x:c>
      <x:c r="P34" s="83" t="str">
        <x:v>Gap 보완</x:v>
      </x:c>
      <x:c r="Q34" s="83" t="str">
        <x:v>P1</x:v>
      </x:c>
      <x:c r="R34" s="83" t="str">
        <x:v>26' 8월 3주</x:v>
      </x:c>
      <x:c r="S34" s="83" t="str">
        <x:v>26' 11월 3주</x:v>
      </x:c>
      <x:c r="T34" s="83" t="str">
        <x:v>SS/입력 Gate: 09-04</x:v>
      </x:c>
      <x:c r="U34" s="83" t="str"/>
      <x:c r="V34" s="83" t="str">
        <x:v>교체 임계값·주기 미정</x:v>
      </x:c>
      <x:c r="W34" s="83" t="str">
        <x:v>AM-013, MM-003</x:v>
      </x:c>
      <x:c r="X34" s="83" t="str">
        <x:v>27, 34, 58, 59, 60, 61, 62</x:v>
      </x:c>
      <x:c r="Y34" s="83" t="str">
        <x:f>IF(COUNTIF($M$6:$M$79,M34)=1,"정상","중복")</x:f>
        <x:v>정상</x:v>
      </x:c>
    </x:row>
    <x:row r="35" ht="42" customHeight="1">
      <x:c r="M35" s="83" t="str">
        <x:v>05-05</x:v>
      </x:c>
      <x:c r="N35" s="83" t="str">
        <x:v>Auto/Step/Recovery Sequence</x:v>
      </x:c>
      <x:c r="O35" s="83" t="str">
        <x:v>Auto Job Change</x:v>
      </x:c>
      <x:c r="P35" s="83" t="str">
        <x:v>Gap 보완</x:v>
      </x:c>
      <x:c r="Q35" s="83" t="str">
        <x:v>P1</x:v>
      </x:c>
      <x:c r="R35" s="83" t="str">
        <x:v>26' 8월 4주</x:v>
      </x:c>
      <x:c r="S35" s="83" t="str">
        <x:v>26' 11월 3주</x:v>
      </x:c>
      <x:c r="T35" s="83" t="str">
        <x:v>SS/입력 Gate: 03-02,04-03</x:v>
      </x:c>
      <x:c r="U35" s="83" t="str"/>
      <x:c r="V35" s="83" t="str">
        <x:v>코드 직접근거 없음</x:v>
      </x:c>
      <x:c r="W35" s="83" t="str">
        <x:v>AM-014</x:v>
      </x:c>
      <x:c r="X35" s="83" t="str">
        <x:v>93, 118, 119, 120</x:v>
      </x:c>
      <x:c r="Y35" s="83" t="str">
        <x:f>IF(COUNTIF($M$6:$M$79,M35)=1,"정상","중복")</x:f>
        <x:v>정상</x:v>
      </x:c>
    </x:row>
    <x:row r="36" ht="42" customHeight="1">
      <x:c r="M36" s="83" t="str">
        <x:v>06-01</x:v>
      </x:c>
      <x:c r="N36" s="83" t="str">
        <x:v>Manual 및 Maintenance</x:v>
      </x:c>
      <x:c r="O36" s="83" t="str">
        <x:v>Device Manual 명령</x:v>
      </x:c>
      <x:c r="P36" s="83" t="str">
        <x:v>Gap 보완</x:v>
      </x:c>
      <x:c r="Q36" s="83" t="str">
        <x:v>P1</x:v>
      </x:c>
      <x:c r="R36" s="83" t="str">
        <x:v>26' 6월 1주</x:v>
      </x:c>
      <x:c r="S36" s="83" t="str">
        <x:v>26' 10월 1주</x:v>
      </x:c>
      <x:c r="T36" s="83" t="str">
        <x:v>SS/입력 Gate: 02-02,03-06</x:v>
      </x:c>
      <x:c r="U36" s="83" t="str"/>
      <x:c r="V36" s="83" t="str">
        <x:v>수동출사 승인 필요</x:v>
      </x:c>
      <x:c r="W36" s="83" t="str">
        <x:v>AM-010, MM-001, MM-002, MM-003</x:v>
      </x:c>
      <x:c r="X36" s="83" t="str">
        <x:v>6, 7, 17, 19, 20, 25, 27, 29, 30, 31, 83</x:v>
      </x:c>
      <x:c r="Y36" s="83" t="str">
        <x:f>IF(COUNTIF($M$6:$M$79,M36)=1,"정상","중복")</x:f>
        <x:v>정상</x:v>
      </x:c>
    </x:row>
    <x:row r="37" ht="42" customHeight="1">
      <x:c r="M37" s="83" t="str">
        <x:v>06-02</x:v>
      </x:c>
      <x:c r="N37" s="83" t="str">
        <x:v>Manual 및 Maintenance</x:v>
      </x:c>
      <x:c r="O37" s="83" t="str">
        <x:v>Manual 가공·패턴</x:v>
      </x:c>
      <x:c r="P37" s="83" t="str">
        <x:v>Gap 보완</x:v>
      </x:c>
      <x:c r="Q37" s="83" t="str">
        <x:v>P1</x:v>
      </x:c>
      <x:c r="R37" s="83" t="str">
        <x:v>26' 6월 4주</x:v>
      </x:c>
      <x:c r="S37" s="83" t="str">
        <x:v>26' 10월 3주</x:v>
      </x:c>
      <x:c r="T37" s="83" t="str">
        <x:v>SS/입력 Gate: 06-01,08-06</x:v>
      </x:c>
      <x:c r="U37" s="83" t="str"/>
      <x:c r="V37" s="83" t="str">
        <x:v>고객 패턴 샘플 필요</x:v>
      </x:c>
      <x:c r="W37" s="83" t="str">
        <x:v>MM-004</x:v>
      </x:c>
      <x:c r="X37" s="83" t="str">
        <x:v>5, 77, 78, 79, 80, 81, 82</x:v>
      </x:c>
      <x:c r="Y37" s="83" t="str">
        <x:f>IF(COUNTIF($M$6:$M$79,M37)=1,"정상","중복")</x:f>
        <x:v>정상</x:v>
      </x:c>
    </x:row>
    <x:row r="38" ht="42" customHeight="1">
      <x:c r="M38" s="83" t="str">
        <x:v>06-03</x:v>
      </x:c>
      <x:c r="N38" s="83" t="str">
        <x:v>Manual 및 Maintenance</x:v>
      </x:c>
      <x:c r="O38" s="83" t="str">
        <x:v>TEG 가공</x:v>
      </x:c>
      <x:c r="P38" s="83" t="str">
        <x:v>Gap 보완</x:v>
      </x:c>
      <x:c r="Q38" s="83" t="str">
        <x:v>P2</x:v>
      </x:c>
      <x:c r="R38" s="83" t="str">
        <x:v>26' 9월 1주</x:v>
      </x:c>
      <x:c r="S38" s="83" t="str">
        <x:v>26' 11월 4주</x:v>
      </x:c>
      <x:c r="T38" s="83" t="str">
        <x:v>SS/입력 Gate: 06-02,07-03</x:v>
      </x:c>
      <x:c r="U38" s="83" t="str"/>
      <x:c r="V38" s="83" t="str">
        <x:v>전용 코드와 고객 TEG 사양 없음</x:v>
      </x:c>
      <x:c r="W38" s="83" t="str">
        <x:v>MM-005</x:v>
      </x:c>
      <x:c r="X38" s="83" t="str">
        <x:v>44, 78, 79, 80, 81, 82</x:v>
      </x:c>
      <x:c r="Y38" s="83" t="str">
        <x:f>IF(COUNTIF($M$6:$M$79,M38)=1,"정상","중복")</x:f>
        <x:v>정상</x:v>
      </x:c>
    </x:row>
    <x:row r="39" ht="42" customHeight="1">
      <x:c r="M39" s="83" t="str">
        <x:v>06-04</x:v>
      </x:c>
      <x:c r="N39" s="83" t="str">
        <x:v>Manual 및 Maintenance</x:v>
      </x:c>
      <x:c r="O39" s="83" t="str">
        <x:v>Manual IOF·P-to-P 검사</x:v>
      </x:c>
      <x:c r="P39" s="83" t="str">
        <x:v>Gap 보완</x:v>
      </x:c>
      <x:c r="Q39" s="83" t="str">
        <x:v>P1</x:v>
      </x:c>
      <x:c r="R39" s="83" t="str">
        <x:v>26' 8월 2주</x:v>
      </x:c>
      <x:c r="S39" s="83" t="str">
        <x:v>26' 11월 2주</x:v>
      </x:c>
      <x:c r="T39" s="83" t="str">
        <x:v>SS/입력 Gate: 07-02,07-03</x:v>
      </x:c>
      <x:c r="U39" s="83" t="str"/>
      <x:c r="V39" s="83" t="str">
        <x:v>검사 Pattern·Tolerance 미정</x:v>
      </x:c>
      <x:c r="W39" s="83" t="str">
        <x:v>MM-007, MM-008, IC-011</x:v>
      </x:c>
      <x:c r="X39" s="83" t="str">
        <x:v>6, 7, 25, 83, 84, 89</x:v>
      </x:c>
      <x:c r="Y39" s="83" t="str">
        <x:f>IF(COUNTIF($M$6:$M$79,M39)=1,"정상","중복")</x:f>
        <x:v>정상</x:v>
      </x:c>
    </x:row>
    <x:row r="40" ht="42" customHeight="1">
      <x:c r="M40" s="83" t="str">
        <x:v>06-05</x:v>
      </x:c>
      <x:c r="N40" s="83" t="str">
        <x:v>Manual 및 Maintenance</x:v>
      </x:c>
      <x:c r="O40" s="83" t="str">
        <x:v>Flying 검사</x:v>
      </x:c>
      <x:c r="P40" s="83" t="str">
        <x:v>Gap 보완</x:v>
      </x:c>
      <x:c r="Q40" s="83" t="str">
        <x:v>P2</x:v>
      </x:c>
      <x:c r="R40" s="83" t="str">
        <x:v>26' 9월 1주</x:v>
      </x:c>
      <x:c r="S40" s="83" t="str">
        <x:v>26' 11월 4주</x:v>
      </x:c>
      <x:c r="T40" s="83" t="str">
        <x:v>SS/입력 Gate: 08-06</x:v>
      </x:c>
      <x:c r="U40" s="83" t="str"/>
      <x:c r="V40" s="83" t="str">
        <x:v>저장소 직접 구현 근거 없음</x:v>
      </x:c>
      <x:c r="W40" s="83" t="str">
        <x:v>IC-001</x:v>
      </x:c>
      <x:c r="X40" s="83" t="str">
        <x:v>55, 89, 90</x:v>
      </x:c>
      <x:c r="Y40" s="83" t="str">
        <x:f>IF(COUNTIF($M$6:$M$79,M40)=1,"정상","중복")</x:f>
        <x:v>정상</x:v>
      </x:c>
    </x:row>
    <x:row r="41" ht="42" customHeight="1">
      <x:c r="M41" s="83" t="str">
        <x:v>07-01</x:v>
      </x:c>
      <x:c r="N41" s="83" t="str">
        <x:v>Align/Inspection/Calibration</x:v>
      </x:c>
      <x:c r="O41" s="83" t="str">
        <x:v>Cell Align·좌표생성</x:v>
      </x:c>
      <x:c r="P41" s="83" t="str">
        <x:v>Gap 보완</x:v>
      </x:c>
      <x:c r="Q41" s="83" t="str">
        <x:v>P1</x:v>
      </x:c>
      <x:c r="R41" s="83" t="str">
        <x:v>26' 6월 3주</x:v>
      </x:c>
      <x:c r="S41" s="83" t="str">
        <x:v>26' 10월 2주</x:v>
      </x:c>
      <x:c r="T41" s="83" t="str">
        <x:v>SS/입력 Gate: 01-05,03-03</x:v>
      </x:c>
      <x:c r="U41" s="83" t="str"/>
      <x:c r="V41" s="83" t="str">
        <x:v>기준점 실측 필요</x:v>
      </x:c>
      <x:c r="W41" s="83" t="str">
        <x:v>AM-005, RD-007</x:v>
      </x:c>
      <x:c r="X41" s="83" t="str">
        <x:v>87, 88, 113, 114</x:v>
      </x:c>
      <x:c r="Y41" s="83" t="str">
        <x:f>IF(COUNTIF($M$6:$M$79,M41)=1,"정상","중복")</x:f>
        <x:v>정상</x:v>
      </x:c>
    </x:row>
    <x:row r="42" ht="42" customHeight="1">
      <x:c r="M42" s="83" t="str">
        <x:v>07-02</x:v>
      </x:c>
      <x:c r="N42" s="83" t="str">
        <x:v>Align/Inspection/Calibration</x:v>
      </x:c>
      <x:c r="O42" s="83" t="str">
        <x:v>Camera Pixel-to-mm</x:v>
      </x:c>
      <x:c r="P42" s="83" t="str">
        <x:v>내부 필수</x:v>
      </x:c>
      <x:c r="Q42" s="83" t="str">
        <x:v>P1</x:v>
      </x:c>
      <x:c r="R42" s="83" t="str">
        <x:v>26' 8월 1주</x:v>
      </x:c>
      <x:c r="S42" s="83" t="str">
        <x:v>26' 10월 3주</x:v>
      </x:c>
      <x:c r="T42" s="83" t="str">
        <x:v>SS/입력 Gate: 07-01</x:v>
      </x:c>
      <x:c r="U42" s="83" t="str"/>
      <x:c r="V42" s="83" t="str">
        <x:v>Calibration Target 필요</x:v>
      </x:c>
      <x:c r="W42" s="83" t="str">
        <x:v>IC-006</x:v>
      </x:c>
      <x:c r="X42" s="83" t="str">
        <x:v>89, 90</x:v>
      </x:c>
      <x:c r="Y42" s="83" t="str">
        <x:f>IF(COUNTIF($M$6:$M$79,M42)=1,"정상","중복")</x:f>
        <x:v>정상</x:v>
      </x:c>
    </x:row>
    <x:row r="43" ht="42" customHeight="1">
      <x:c r="M43" s="83" t="str">
        <x:v>07-03</x:v>
      </x:c>
      <x:c r="N43" s="83" t="str">
        <x:v>Align/Inspection/Calibration</x:v>
      </x:c>
      <x:c r="O43" s="83" t="str">
        <x:v>Camera-to-Global Calibration</x:v>
      </x:c>
      <x:c r="P43" s="83" t="str">
        <x:v>내부 필수</x:v>
      </x:c>
      <x:c r="Q43" s="83" t="str">
        <x:v>P1</x:v>
      </x:c>
      <x:c r="R43" s="83" t="str">
        <x:v>26' 8월 2주</x:v>
      </x:c>
      <x:c r="S43" s="83" t="str">
        <x:v>26' 11월 1주</x:v>
      </x:c>
      <x:c r="T43" s="83" t="str">
        <x:v>SS/입력 Gate: 07-02</x:v>
      </x:c>
      <x:c r="U43" s="83" t="str">
        <x:v>Y</x:v>
      </x:c>
      <x:c r="V43" s="83" t="str">
        <x:v>실장비 좌표 측정 필요</x:v>
      </x:c>
      <x:c r="W43" s="83" t="str">
        <x:v>IC-004, IC-006</x:v>
      </x:c>
      <x:c r="X43" s="83" t="str">
        <x:v>89, 90, 94</x:v>
      </x:c>
      <x:c r="Y43" s="83" t="str">
        <x:f>IF(COUNTIF($M$6:$M$79,M43)=1,"정상","중복")</x:f>
        <x:v>정상</x:v>
      </x:c>
    </x:row>
    <x:row r="44" ht="42" customHeight="1">
      <x:c r="M44" s="83" t="str">
        <x:v>07-04</x:v>
      </x:c>
      <x:c r="N44" s="83" t="str">
        <x:v>Align/Inspection/Calibration</x:v>
      </x:c>
      <x:c r="O44" s="83" t="str">
        <x:v>Review 기준점·Branch</x:v>
      </x:c>
      <x:c r="P44" s="83" t="str">
        <x:v>Gap 보완</x:v>
      </x:c>
      <x:c r="Q44" s="83" t="str">
        <x:v>P1</x:v>
      </x:c>
      <x:c r="R44" s="83" t="str">
        <x:v>26' 8월 1주</x:v>
      </x:c>
      <x:c r="S44" s="83" t="str">
        <x:v>26' 10월 3주</x:v>
      </x:c>
      <x:c r="T44" s="83" t="str">
        <x:v>SS/입력 Gate: 07-03</x:v>
      </x:c>
      <x:c r="U44" s="83" t="str"/>
      <x:c r="V44" s="83" t="str">
        <x:v>Branch 정의 고객 확인 필요</x:v>
      </x:c>
      <x:c r="W44" s="83" t="str">
        <x:v>MM-006, IC-006</x:v>
      </x:c>
      <x:c r="X44" s="83" t="str">
        <x:v>55, 89, 90, 113</x:v>
      </x:c>
      <x:c r="Y44" s="83" t="str">
        <x:f>IF(COUNTIF($M$6:$M$79,M44)=1,"정상","중복")</x:f>
        <x:v>정상</x:v>
      </x:c>
    </x:row>
    <x:row r="45" ht="42" customHeight="1">
      <x:c r="M45" s="83" t="str">
        <x:v>07-05</x:v>
      </x:c>
      <x:c r="N45" s="83" t="str">
        <x:v>Align/Inspection/Calibration</x:v>
      </x:c>
      <x:c r="O45" s="83" t="str">
        <x:v>Review 계획·측정·재검사</x:v>
      </x:c>
      <x:c r="P45" s="83" t="str">
        <x:v>Gap 보완</x:v>
      </x:c>
      <x:c r="Q45" s="83" t="str">
        <x:v>P1</x:v>
      </x:c>
      <x:c r="R45" s="83" t="str">
        <x:v>26' 7월 1주</x:v>
      </x:c>
      <x:c r="S45" s="83" t="str">
        <x:v>26' 11월 2주</x:v>
      </x:c>
      <x:c r="T45" s="83" t="str">
        <x:v>SS/입력 Gate: 03-03,07-04</x:v>
      </x:c>
      <x:c r="U45" s="83" t="str">
        <x:v>Y</x:v>
      </x:c>
      <x:c r="V45" s="83" t="str">
        <x:v>Vision 결과 프로토콜·Retry 기준 미정</x:v>
      </x:c>
      <x:c r="W45" s="83" t="str">
        <x:v>AM-012, IC-002, IC-003, IC-004</x:v>
      </x:c>
      <x:c r="X45" s="83" t="str">
        <x:v>55, 56, 89, 90, 91, 92, 95, 97, 99, 105, 112</x:v>
      </x:c>
      <x:c r="Y45" s="83" t="str">
        <x:f>IF(COUNTIF($M$6:$M$79,M45)=1,"정상","중복")</x:f>
        <x:v>정상</x:v>
      </x:c>
    </x:row>
    <x:row r="46" ht="42" customHeight="1">
      <x:c r="M46" s="83" t="str">
        <x:v>07-06</x:v>
      </x:c>
      <x:c r="N46" s="83" t="str">
        <x:v>Align/Inspection/Calibration</x:v>
      </x:c>
      <x:c r="O46" s="83" t="str">
        <x:v>Review Offset 누적·방향</x:v>
      </x:c>
      <x:c r="P46" s="83" t="str">
        <x:v>Gap 보완</x:v>
      </x:c>
      <x:c r="Q46" s="83" t="str">
        <x:v>P1</x:v>
      </x:c>
      <x:c r="R46" s="83" t="str">
        <x:v>26' 8월 2주</x:v>
      </x:c>
      <x:c r="S46" s="83" t="str">
        <x:v>26' 11월 2주</x:v>
      </x:c>
      <x:c r="T46" s="83" t="str">
        <x:v>SS/입력 Gate: 07-03,07-05</x:v>
      </x:c>
      <x:c r="U46" s="83" t="str"/>
      <x:c r="V46" s="83" t="str">
        <x:v>누적 방식 고객 결정 필요</x:v>
      </x:c>
      <x:c r="W46" s="83" t="str">
        <x:v>IC-007, IC-008, IC-009, IC-010</x:v>
      </x:c>
      <x:c r="X46" s="83" t="str">
        <x:v>55, 68, 70, 89, 90, 91, 94</x:v>
      </x:c>
      <x:c r="Y46" s="83" t="str">
        <x:f>IF(COUNTIF($M$6:$M$79,M46)=1,"정상","중복")</x:f>
        <x:v>정상</x:v>
      </x:c>
    </x:row>
    <x:row r="47" ht="42" customHeight="1">
      <x:c r="M47" s="83" t="str">
        <x:v>07-07</x:v>
      </x:c>
      <x:c r="N47" s="83" t="str">
        <x:v>Align/Inspection/Calibration</x:v>
      </x:c>
      <x:c r="O47" s="83" t="str">
        <x:v>Rough/Simple/Fine 보정</x:v>
      </x:c>
      <x:c r="P47" s="83" t="str">
        <x:v>Gap 보완</x:v>
      </x:c>
      <x:c r="Q47" s="83" t="str">
        <x:v>P1</x:v>
      </x:c>
      <x:c r="R47" s="83" t="str">
        <x:v>26' 8월 3주</x:v>
      </x:c>
      <x:c r="S47" s="83" t="str">
        <x:v>26' 11월 3주</x:v>
      </x:c>
      <x:c r="T47" s="83" t="str">
        <x:v>SS/입력 Gate: 07-05,08-05</x:v>
      </x:c>
      <x:c r="U47" s="83" t="str"/>
      <x:c r="V47" s="83" t="str">
        <x:v>보정 단계 수용기준 미정</x:v>
      </x:c>
      <x:c r="W47" s="83" t="str">
        <x:v>IC-005</x:v>
      </x:c>
      <x:c r="X47" s="83" t="str">
        <x:v>90, 91, 92, 95</x:v>
      </x:c>
      <x:c r="Y47" s="83" t="str">
        <x:f>IF(COUNTIF($M$6:$M$79,M47)=1,"정상","중복")</x:f>
        <x:v>정상</x:v>
      </x:c>
    </x:row>
    <x:row r="48" ht="42" customHeight="1">
      <x:c r="M48" s="83" t="str">
        <x:v>07-08</x:v>
      </x:c>
      <x:c r="N48" s="83" t="str">
        <x:v>Align/Inspection/Calibration</x:v>
      </x:c>
      <x:c r="O48" s="83" t="str">
        <x:v>동적 보정·가공 Offset</x:v>
      </x:c>
      <x:c r="P48" s="83" t="str">
        <x:v>Gap 보완</x:v>
      </x:c>
      <x:c r="Q48" s="83" t="str">
        <x:v>P1</x:v>
      </x:c>
      <x:c r="R48" s="83" t="str">
        <x:v>26' 8월 4주</x:v>
      </x:c>
      <x:c r="S48" s="83" t="str">
        <x:v>26' 11월 4주</x:v>
      </x:c>
      <x:c r="T48" s="83" t="str">
        <x:v>SS/입력 Gate: 07-06,08-04</x:v>
      </x:c>
      <x:c r="U48" s="83" t="str"/>
      <x:c r="V48" s="83" t="str">
        <x:v>실물 반복정밀도 필요</x:v>
      </x:c>
      <x:c r="W48" s="83" t="str">
        <x:v>MM-006, IC-010</x:v>
      </x:c>
      <x:c r="X48" s="83" t="str">
        <x:v>55, 68, 70, 89, 90, 113</x:v>
      </x:c>
      <x:c r="Y48" s="83" t="str">
        <x:f>IF(COUNTIF($M$6:$M$79,M48)=1,"정상","중복")</x:f>
        <x:v>정상</x:v>
      </x:c>
    </x:row>
    <x:row r="49" ht="42" customHeight="1">
      <x:c r="M49" s="83" t="str">
        <x:v>08-01</x:v>
      </x:c>
      <x:c r="N49" s="83" t="str">
        <x:v>Scanner/MOF/Coordinate</x:v>
      </x:c>
      <x:c r="O49" s="83" t="str">
        <x:v>Scanner별 Cell 영역 분할</x:v>
      </x:c>
      <x:c r="P49" s="83" t="str">
        <x:v>Gap 보완</x:v>
      </x:c>
      <x:c r="Q49" s="83" t="str">
        <x:v>P1</x:v>
      </x:c>
      <x:c r="R49" s="83" t="str">
        <x:v>26' 6월 3주</x:v>
      </x:c>
      <x:c r="S49" s="83" t="str">
        <x:v>26' 10월 2주</x:v>
      </x:c>
      <x:c r="T49" s="83" t="str">
        <x:v>SS/입력 Gate: 01-05</x:v>
      </x:c>
      <x:c r="U49" s="83" t="str"/>
      <x:c r="V49" s="83" t="str">
        <x:v>경계중복·누락 규칙 미정</x:v>
      </x:c>
      <x:c r="W49" s="83" t="str">
        <x:v>AM-005</x:v>
      </x:c>
      <x:c r="X49" s="83" t="str">
        <x:v>87, 88, 113, 114</x:v>
      </x:c>
      <x:c r="Y49" s="83" t="str">
        <x:f>IF(COUNTIF($M$6:$M$79,M49)=1,"정상","중복")</x:f>
        <x:v>정상</x:v>
      </x:c>
    </x:row>
    <x:row r="50" ht="42" customHeight="1">
      <x:c r="M50" s="83" t="str">
        <x:v>08-02</x:v>
      </x:c>
      <x:c r="N50" s="83" t="str">
        <x:v>Scanner/MOF/Coordinate</x:v>
      </x:c>
      <x:c r="O50" s="83" t="str">
        <x:v>Default Offset·Virtual Origin</x:v>
      </x:c>
      <x:c r="P50" s="83" t="str">
        <x:v>Gap 보완</x:v>
      </x:c>
      <x:c r="Q50" s="83" t="str">
        <x:v>P1</x:v>
      </x:c>
      <x:c r="R50" s="83" t="str">
        <x:v>26' 6월 4주</x:v>
      </x:c>
      <x:c r="S50" s="83" t="str">
        <x:v>26' 10월 4주</x:v>
      </x:c>
      <x:c r="T50" s="83" t="str">
        <x:v>SS/입력 Gate: 08-01</x:v>
      </x:c>
      <x:c r="U50" s="83" t="str">
        <x:v>Y</x:v>
      </x:c>
      <x:c r="V50" s="83" t="str">
        <x:v>Virtual Origin 코드 근거 없음</x:v>
      </x:c>
      <x:c r="W50" s="83" t="str">
        <x:v>SS-003</x:v>
      </x:c>
      <x:c r="X50" s="83" t="str">
        <x:v>34, 39, 96, 97, 116, 117</x:v>
      </x:c>
      <x:c r="Y50" s="83" t="str">
        <x:f>IF(COUNTIF($M$6:$M$79,M50)=1,"정상","중복")</x:f>
        <x:v>정상</x:v>
      </x:c>
    </x:row>
    <x:row r="51" ht="42" customHeight="1">
      <x:c r="M51" s="83" t="str">
        <x:v>08-03</x:v>
      </x:c>
      <x:c r="N51" s="83" t="str">
        <x:v>Scanner/MOF/Coordinate</x:v>
      </x:c>
      <x:c r="O51" s="83" t="str">
        <x:v>홀수·짝수 GX/GY 축·부호</x:v>
      </x:c>
      <x:c r="P51" s="83" t="str">
        <x:v>내부 필수</x:v>
      </x:c>
      <x:c r="Q51" s="83" t="str">
        <x:v>P1</x:v>
      </x:c>
      <x:c r="R51" s="83" t="str">
        <x:v>26' 6월 3주</x:v>
      </x:c>
      <x:c r="S51" s="83" t="str">
        <x:v>26' 10월 1주</x:v>
      </x:c>
      <x:c r="T51" s="83" t="str">
        <x:v>SS/입력 Gate: 01-05</x:v>
      </x:c>
      <x:c r="U51" s="83" t="str"/>
      <x:c r="V51" s="83" t="str">
        <x:v>케이블/미러 설치 방향 실측 필요</x:v>
      </x:c>
      <x:c r="W51" s="83" t="str">
        <x:v>AM-005, IC-007</x:v>
      </x:c>
      <x:c r="X51" s="83" t="str">
        <x:v>113, 114, 117</x:v>
      </x:c>
      <x:c r="Y51" s="83" t="str">
        <x:f>IF(COUNTIF($M$6:$M$79,M51)=1,"정상","중복")</x:f>
        <x:v>정상</x:v>
      </x:c>
    </x:row>
    <x:row r="52" ht="42" customHeight="1">
      <x:c r="M52" s="83" t="str">
        <x:v>08-04</x:v>
      </x:c>
      <x:c r="N52" s="83" t="str">
        <x:v>Scanner/MOF/Coordinate</x:v>
      </x:c>
      <x:c r="O52" s="83" t="str">
        <x:v>Scanner Mapping</x:v>
      </x:c>
      <x:c r="P52" s="83" t="str">
        <x:v>Gap 보완</x:v>
      </x:c>
      <x:c r="Q52" s="83" t="str">
        <x:v>P1</x:v>
      </x:c>
      <x:c r="R52" s="83" t="str">
        <x:v>26' 6월 4주</x:v>
      </x:c>
      <x:c r="S52" s="83" t="str">
        <x:v>26' 11월 1주</x:v>
      </x:c>
      <x:c r="T52" s="83" t="str">
        <x:v>SS/입력 Gate: 08-01,08-02,08-03</x:v>
      </x:c>
      <x:c r="U52" s="83" t="str">
        <x:v>Y</x:v>
      </x:c>
      <x:c r="V52" s="83" t="str">
        <x:v>최종 Geometry 미확정</x:v>
      </x:c>
      <x:c r="W52" s="83" t="str">
        <x:v>AM-005, SS-003</x:v>
      </x:c>
      <x:c r="X52" s="83" t="str">
        <x:v>87, 88, 113, 114, 117</x:v>
      </x:c>
      <x:c r="Y52" s="83" t="str">
        <x:f>IF(COUNTIF($M$6:$M$79,M52)=1,"정상","중복")</x:f>
        <x:v>정상</x:v>
      </x:c>
    </x:row>
    <x:row r="53" ht="42" customHeight="1">
      <x:c r="M53" s="83" t="str">
        <x:v>08-05</x:v>
      </x:c>
      <x:c r="N53" s="83" t="str">
        <x:v>Scanner/MOF/Coordinate</x:v>
      </x:c>
      <x:c r="O53" s="83" t="str">
        <x:v>Field Distortion 보정</x:v>
      </x:c>
      <x:c r="P53" s="83" t="str">
        <x:v>Gap 보완</x:v>
      </x:c>
      <x:c r="Q53" s="83" t="str">
        <x:v>P1</x:v>
      </x:c>
      <x:c r="R53" s="83" t="str">
        <x:v>26' 7월 4주</x:v>
      </x:c>
      <x:c r="S53" s="83" t="str">
        <x:v>26' 11월 3주</x:v>
      </x:c>
      <x:c r="T53" s="83" t="str">
        <x:v>SS/입력 Gate: 07-03,08-04</x:v>
      </x:c>
      <x:c r="U53" s="83" t="str"/>
      <x:c r="V53" s="83" t="str">
        <x:v>기준·적용순서 미정</x:v>
      </x:c>
      <x:c r="W53" s="83" t="str">
        <x:v>RD-003, RD-005</x:v>
      </x:c>
      <x:c r="X53" s="83" t="str">
        <x:v>88, 92, 95, 97, 99, 117</x:v>
      </x:c>
      <x:c r="Y53" s="83" t="str">
        <x:f>IF(COUNTIF($M$6:$M$79,M53)=1,"정상","중복")</x:f>
        <x:v>정상</x:v>
      </x:c>
    </x:row>
    <x:row r="54" ht="42" customHeight="1">
      <x:c r="M54" s="83" t="str">
        <x:v>08-06</x:v>
      </x:c>
      <x:c r="N54" s="83" t="str">
        <x:v>Scanner/MOF/Coordinate</x:v>
      </x:c>
      <x:c r="O54" s="83" t="str">
        <x:v>Stage Y OTF/MOF·Encoder/AUX</x:v>
      </x:c>
      <x:c r="P54" s="83" t="str">
        <x:v>Gap 보완</x:v>
      </x:c>
      <x:c r="Q54" s="83" t="str">
        <x:v>P1</x:v>
      </x:c>
      <x:c r="R54" s="83" t="str">
        <x:v>26' 7월 1주</x:v>
      </x:c>
      <x:c r="S54" s="83" t="str">
        <x:v>26' 11월 3주</x:v>
      </x:c>
      <x:c r="T54" s="83" t="str">
        <x:v>SS/입력 Gate: 03-05,08-04</x:v>
      </x:c>
      <x:c r="U54" s="83" t="str">
        <x:v>Y</x:v>
      </x:c>
      <x:c r="V54" s="83" t="str">
        <x:v>Encoder Scale/Latency 실측 필요</x:v>
      </x:c>
      <x:c r="W54" s="83" t="str">
        <x:v>AM-011</x:v>
      </x:c>
      <x:c r="X54" s="83" t="str">
        <x:v>47, 53, 54, 55, 56, 57, 116, 117</x:v>
      </x:c>
      <x:c r="Y54" s="83" t="str">
        <x:f>IF(COUNTIF($M$6:$M$79,M54)=1,"정상","중복")</x:f>
        <x:v>정상</x:v>
      </x:c>
    </x:row>
    <x:row r="55" ht="42" customHeight="1">
      <x:c r="M55" s="83" t="str">
        <x:v>08-07</x:v>
      </x:c>
      <x:c r="N55" s="83" t="str">
        <x:v>Scanner/MOF/Coordinate</x:v>
      </x:c>
      <x:c r="O55" s="83" t="str">
        <x:v>Trigger·Lead-in/out·Shot</x:v>
      </x:c>
      <x:c r="P55" s="83" t="str">
        <x:v>내부 필수</x:v>
      </x:c>
      <x:c r="Q55" s="83" t="str">
        <x:v>P1</x:v>
      </x:c>
      <x:c r="R55" s="83" t="str">
        <x:v>26' 7월 3주</x:v>
      </x:c>
      <x:c r="S55" s="83" t="str">
        <x:v>26' 11월 3주</x:v>
      </x:c>
      <x:c r="T55" s="83" t="str">
        <x:v>SS/입력 Gate: 08-06</x:v>
      </x:c>
      <x:c r="U55" s="83" t="str"/>
      <x:c r="V55" s="83" t="str">
        <x:v>Lead-in/out·Shot 적용시점 미정</x:v>
      </x:c>
      <x:c r="W55" s="83" t="str">
        <x:v>AM-011, RD-004</x:v>
      </x:c>
      <x:c r="X55" s="83" t="str">
        <x:v>47, 53, 54, 55, 56, 57, 96, 97, 116</x:v>
      </x:c>
      <x:c r="Y55" s="83" t="str">
        <x:f>IF(COUNTIF($M$6:$M$79,M55)=1,"정상","중복")</x:f>
        <x:v>정상</x:v>
      </x:c>
    </x:row>
    <x:row r="56" ht="42" customHeight="1">
      <x:c r="M56" s="83" t="str">
        <x:v>08-08</x:v>
      </x:c>
      <x:c r="N56" s="83" t="str">
        <x:v>Scanner/MOF/Coordinate</x:v>
      </x:c>
      <x:c r="O56" s="83" t="str">
        <x:v>Head 사용/미사용·1/8 Head 시험</x:v>
      </x:c>
      <x:c r="P56" s="83" t="str">
        <x:v>Gap 보완</x:v>
      </x:c>
      <x:c r="Q56" s="83" t="str">
        <x:v>P1</x:v>
      </x:c>
      <x:c r="R56" s="83" t="str">
        <x:v>26' 8월 2주</x:v>
      </x:c>
      <x:c r="S56" s="83" t="str">
        <x:v>26' 11월 4주</x:v>
      </x:c>
      <x:c r="T56" s="83" t="str">
        <x:v>SS/입력 Gate: 08-06,08-07</x:v>
      </x:c>
      <x:c r="U56" s="83" t="str">
        <x:v>Y</x:v>
      </x:c>
      <x:c r="V56" s="83" t="str">
        <x:v>8 Head 장비 필요</x:v>
      </x:c>
      <x:c r="W56" s="83" t="str">
        <x:v>MM-009</x:v>
      </x:c>
      <x:c r="X56" s="83" t="str">
        <x:v>5, 34, 77, 116</x:v>
      </x:c>
      <x:c r="Y56" s="83" t="str">
        <x:f>IF(COUNTIF($M$6:$M$79,M56)=1,"정상","중복")</x:f>
        <x:v>정상</x:v>
      </x:c>
    </x:row>
    <x:row r="57" ht="42" customHeight="1">
      <x:c r="M57" s="83" t="str">
        <x:v>09-01</x:v>
      </x:c>
      <x:c r="N57" s="83" t="str">
        <x:v>Laser/Optics/Power</x:v>
      </x:c>
      <x:c r="O57" s="83" t="str">
        <x:v>Laser 출사조건·안전</x:v>
      </x:c>
      <x:c r="P57" s="83" t="str">
        <x:v>Gap 보완</x:v>
      </x:c>
      <x:c r="Q57" s="83" t="str">
        <x:v>P1</x:v>
      </x:c>
      <x:c r="R57" s="83" t="str">
        <x:v>26' 6월 2주</x:v>
      </x:c>
      <x:c r="S57" s="83" t="str">
        <x:v>26' 10월 3주</x:v>
      </x:c>
      <x:c r="T57" s="83" t="str">
        <x:v>SS/입력 Gate: 03-06,10-01</x:v>
      </x:c>
      <x:c r="U57" s="83" t="str"/>
      <x:c r="V57" s="83" t="str">
        <x:v>실출사 안전승인 필요</x:v>
      </x:c>
      <x:c r="W57" s="83" t="str">
        <x:v>SS-001</x:v>
      </x:c>
      <x:c r="X57" s="83" t="str">
        <x:v>14, 26, 63, 64, 65, 104</x:v>
      </x:c>
      <x:c r="Y57" s="83" t="str">
        <x:f>IF(COUNTIF($M$6:$M$79,M57)=1,"정상","중복")</x:f>
        <x:v>정상</x:v>
      </x:c>
    </x:row>
    <x:row r="58" ht="42" customHeight="1">
      <x:c r="M58" s="83" t="str">
        <x:v>09-02</x:v>
      </x:c>
      <x:c r="N58" s="83" t="str">
        <x:v>Laser/Optics/Power</x:v>
      </x:c>
      <x:c r="O58" s="83" t="str">
        <x:v>Optics 동작·Recipe 연계</x:v>
      </x:c>
      <x:c r="P58" s="83" t="str">
        <x:v>Gap 보완</x:v>
      </x:c>
      <x:c r="Q58" s="83" t="str">
        <x:v>P1</x:v>
      </x:c>
      <x:c r="R58" s="83" t="str">
        <x:v>26' 6월 3주</x:v>
      </x:c>
      <x:c r="S58" s="83" t="str">
        <x:v>26' 11월 1주</x:v>
      </x:c>
      <x:c r="T58" s="83" t="str">
        <x:v>SS/입력 Gate: 03-06,04-02</x:v>
      </x:c>
      <x:c r="U58" s="83" t="str"/>
      <x:c r="V58" s="83" t="str">
        <x:v>DOE Tilt·Branch 기구사양 미정</x:v>
      </x:c>
      <x:c r="W58" s="83" t="str">
        <x:v>AM-004, AM-010, RD-004, SS-002, SS-006</x:v>
      </x:c>
      <x:c r="X58" s="83" t="str">
        <x:v>17, 19, 20, 25, 29, 30, 96, 97, 102, 103</x:v>
      </x:c>
      <x:c r="Y58" s="83" t="str">
        <x:f>IF(COUNTIF($M$6:$M$79,M58)=1,"정상","중복")</x:f>
        <x:v>정상</x:v>
      </x:c>
    </x:row>
    <x:row r="59" ht="42" customHeight="1">
      <x:c r="M59" s="83" t="str">
        <x:v>09-03</x:v>
      </x:c>
      <x:c r="N59" s="83" t="str">
        <x:v>Laser/Optics/Power</x:v>
      </x:c>
      <x:c r="O59" s="83" t="str">
        <x:v>Power Meter 측정</x:v>
      </x:c>
      <x:c r="P59" s="83" t="str">
        <x:v>Gap 보완</x:v>
      </x:c>
      <x:c r="Q59" s="83" t="str">
        <x:v>P1</x:v>
      </x:c>
      <x:c r="R59" s="83" t="str">
        <x:v>26' 7월 1주</x:v>
      </x:c>
      <x:c r="S59" s="83" t="str">
        <x:v>26' 11월 1주</x:v>
      </x:c>
      <x:c r="T59" s="83" t="str">
        <x:v>SS/입력 Gate: 03-06</x:v>
      </x:c>
      <x:c r="U59" s="83" t="str"/>
      <x:c r="V59" s="83" t="str">
        <x:v>측정 위치·안정화 시간 미정</x:v>
      </x:c>
      <x:c r="W59" s="83" t="str">
        <x:v>SS-005</x:v>
      </x:c>
      <x:c r="X59" s="83" t="str">
        <x:v>16, 31, 43, 105</x:v>
      </x:c>
      <x:c r="Y59" s="83" t="str">
        <x:f>IF(COUNTIF($M$6:$M$79,M59)=1,"정상","중복")</x:f>
        <x:v>정상</x:v>
      </x:c>
    </x:row>
    <x:row r="60" ht="42" customHeight="1">
      <x:c r="M60" s="83" t="str">
        <x:v>09-04</x:v>
      </x:c>
      <x:c r="N60" s="83" t="str">
        <x:v>Laser/Optics/Power</x:v>
      </x:c>
      <x:c r="O60" s="83" t="str">
        <x:v>ATT Power 보정·APC</x:v>
      </x:c>
      <x:c r="P60" s="83" t="str">
        <x:v>Gap 보완</x:v>
      </x:c>
      <x:c r="Q60" s="83" t="str">
        <x:v>P1</x:v>
      </x:c>
      <x:c r="R60" s="83" t="str">
        <x:v>26' 8월 2주</x:v>
      </x:c>
      <x:c r="S60" s="83" t="str">
        <x:v>26' 11월 4주</x:v>
      </x:c>
      <x:c r="T60" s="83" t="str">
        <x:v>SS/입력 Gate: 07-05,09-03</x:v>
      </x:c>
      <x:c r="U60" s="83" t="str">
        <x:v>Y</x:v>
      </x:c>
      <x:c r="V60" s="83" t="str">
        <x:v>APC 데이터/반복 종료조건 미정</x:v>
      </x:c>
      <x:c r="W60" s="83" t="str">
        <x:v>AM-012, SS-004</x:v>
      </x:c>
      <x:c r="X60" s="83" t="str">
        <x:v>16, 31, 43, 55, 56, 89, 92, 105, 112</x:v>
      </x:c>
      <x:c r="Y60" s="83" t="str">
        <x:f>IF(COUNTIF($M$6:$M$79,M60)=1,"정상","중복")</x:f>
        <x:v>정상</x:v>
      </x:c>
    </x:row>
    <x:row r="61" ht="42" customHeight="1">
      <x:c r="M61" s="83" t="str">
        <x:v>09-05</x:v>
      </x:c>
      <x:c r="N61" s="83" t="str">
        <x:v>Laser/Optics/Power</x:v>
      </x:c>
      <x:c r="O61" s="83" t="str">
        <x:v>Power/Optics 통합 검증</x:v>
      </x:c>
      <x:c r="P61" s="83" t="str">
        <x:v>Gap 보완</x:v>
      </x:c>
      <x:c r="Q61" s="83" t="str">
        <x:v>P1</x:v>
      </x:c>
      <x:c r="R61" s="83" t="str">
        <x:v>26' 9월 2주</x:v>
      </x:c>
      <x:c r="S61" s="83" t="str">
        <x:v>26' 12월 1주</x:v>
      </x:c>
      <x:c r="T61" s="83" t="str">
        <x:v>SS/입력 Gate: 05-04,09-04</x:v>
      </x:c>
      <x:c r="U61" s="83" t="str"/>
      <x:c r="V61" s="83" t="str">
        <x:v>광학계/파워미터 교정성적서 필요</x:v>
      </x:c>
      <x:c r="W61" s="83" t="str">
        <x:v>AM-006</x:v>
      </x:c>
      <x:c r="X61" s="83" t="str">
        <x:v>31, 34, 105, 115</x:v>
      </x:c>
      <x:c r="Y61" s="83" t="str">
        <x:f>IF(COUNTIF($M$6:$M$79,M61)=1,"정상","중복")</x:f>
        <x:v>정상</x:v>
      </x:c>
    </x:row>
    <x:row r="62" ht="42" customHeight="1">
      <x:c r="M62" s="83" t="str">
        <x:v>10-01</x:v>
      </x:c>
      <x:c r="N62" s="83" t="str">
        <x:v>Alarm/Interlock/Log</x:v>
      </x:c>
      <x:c r="O62" s="83" t="str">
        <x:v>Door/Laser/Scanner/Stage Interlock</x:v>
      </x:c>
      <x:c r="P62" s="83" t="str">
        <x:v>Gap 보완</x:v>
      </x:c>
      <x:c r="Q62" s="83" t="str">
        <x:v>P1</x:v>
      </x:c>
      <x:c r="R62" s="83" t="str">
        <x:v>26' 6월 2주</x:v>
      </x:c>
      <x:c r="S62" s="83" t="str">
        <x:v>26' 10월 3주</x:v>
      </x:c>
      <x:c r="T62" s="83" t="str">
        <x:v>SS/입력 Gate: 01-02,03-07</x:v>
      </x:c>
      <x:c r="U62" s="83" t="str">
        <x:v>Y</x:v>
      </x:c>
      <x:c r="V62" s="83" t="str">
        <x:v>최종 I/O List 미확정</x:v>
      </x:c>
      <x:c r="W62" s="83" t="str">
        <x:v>AM-002, AM-007</x:v>
      </x:c>
      <x:c r="X62" s="83" t="str">
        <x:v>2, 63, 64, 65, 66, 67, 68</x:v>
      </x:c>
      <x:c r="Y62" s="83" t="str">
        <x:f>IF(COUNTIF($M$6:$M$79,M62)=1,"정상","중복")</x:f>
        <x:v>정상</x:v>
      </x:c>
    </x:row>
    <x:row r="63" ht="42" customHeight="1">
      <x:c r="M63" s="83" t="str">
        <x:v>10-02</x:v>
      </x:c>
      <x:c r="N63" s="83" t="str">
        <x:v>Alarm/Interlock/Log</x:v>
      </x:c>
      <x:c r="O63" s="83" t="str">
        <x:v>Alarm·Reset·Recovery</x:v>
      </x:c>
      <x:c r="P63" s="83" t="str">
        <x:v>Gap 보완</x:v>
      </x:c>
      <x:c r="Q63" s="83" t="str">
        <x:v>P1</x:v>
      </x:c>
      <x:c r="R63" s="83" t="str">
        <x:v>26' 7월 1주</x:v>
      </x:c>
      <x:c r="S63" s="83" t="str">
        <x:v>26' 11월 2주</x:v>
      </x:c>
      <x:c r="T63" s="83" t="str">
        <x:v>SS/입력 Gate: 05-03,10-01</x:v>
      </x:c>
      <x:c r="U63" s="83" t="str"/>
      <x:c r="V63" s="83" t="str">
        <x:v>고객 Alarm Map 필요</x:v>
      </x:c>
      <x:c r="W63" s="83" t="str">
        <x:v>AM-015</x:v>
      </x:c>
      <x:c r="X63" s="83" t="str">
        <x:v>12, 13, 46, 66, 67, 68</x:v>
      </x:c>
      <x:c r="Y63" s="83" t="str">
        <x:f>IF(COUNTIF($M$6:$M$79,M63)=1,"정상","중복")</x:f>
        <x:v>정상</x:v>
      </x:c>
    </x:row>
    <x:row r="64" ht="42" customHeight="1">
      <x:c r="M64" s="83" t="str">
        <x:v>10-03</x:v>
      </x:c>
      <x:c r="N64" s="83" t="str">
        <x:v>Alarm/Interlock/Log</x:v>
      </x:c>
      <x:c r="O64" s="83" t="str">
        <x:v>Interface·Sequence·Alarm·Recipe Log</x:v>
      </x:c>
      <x:c r="P64" s="83" t="str">
        <x:v>내부 필수</x:v>
      </x:c>
      <x:c r="Q64" s="83" t="str">
        <x:v>P2</x:v>
      </x:c>
      <x:c r="R64" s="83" t="str">
        <x:v>26' 6월 3주</x:v>
      </x:c>
      <x:c r="S64" s="83" t="str">
        <x:v>26' 11월 2주</x:v>
      </x:c>
      <x:c r="T64" s="83" t="str">
        <x:v>SS/입력 Gate: 03-07,04-05</x:v>
      </x:c>
      <x:c r="U64" s="83" t="str"/>
      <x:c r="V64" s="83" t="str">
        <x:v>보존기간·용량 정책 미정</x:v>
      </x:c>
      <x:c r="W64" s="83" t="str">
        <x:v>AM-015, SS-008</x:v>
      </x:c>
      <x:c r="X64" s="83" t="str">
        <x:v>69, 70, 71, 72, 73, 74</x:v>
      </x:c>
      <x:c r="Y64" s="83" t="str">
        <x:f>IF(COUNTIF($M$6:$M$79,M64)=1,"정상","중복")</x:f>
        <x:v>정상</x:v>
      </x:c>
    </x:row>
    <x:row r="65" ht="42" customHeight="1">
      <x:c r="M65" s="83" t="str">
        <x:v>10-04</x:v>
      </x:c>
      <x:c r="N65" s="83" t="str">
        <x:v>Alarm/Interlock/Log</x:v>
      </x:c>
      <x:c r="O65" s="83" t="str">
        <x:v>설정 무결성·복구</x:v>
      </x:c>
      <x:c r="P65" s="83" t="str">
        <x:v>Gap 보완</x:v>
      </x:c>
      <x:c r="Q65" s="83" t="str">
        <x:v>P2</x:v>
      </x:c>
      <x:c r="R65" s="83" t="str">
        <x:v>26' 7월 3주</x:v>
      </x:c>
      <x:c r="S65" s="83" t="str">
        <x:v>26' 11월 3주</x:v>
      </x:c>
      <x:c r="T65" s="83" t="str">
        <x:v>SS/입력 Gate: 04-06</x:v>
      </x:c>
      <x:c r="U65" s="83" t="str"/>
      <x:c r="V65" s="83" t="str">
        <x:v>복구 RTO/RPO 미정</x:v>
      </x:c>
      <x:c r="W65" s="83" t="str">
        <x:v>AM-016, SS-008</x:v>
      </x:c>
      <x:c r="X65" s="83" t="str">
        <x:v>10, 11, 41, 100, 101</x:v>
      </x:c>
      <x:c r="Y65" s="83" t="str">
        <x:f>IF(COUNTIF($M$6:$M$79,M65)=1,"정상","중복")</x:f>
        <x:v>정상</x:v>
      </x:c>
    </x:row>
    <x:row r="66" ht="42" customHeight="1">
      <x:c r="M66" s="83" t="str">
        <x:v>11-01</x:v>
      </x:c>
      <x:c r="N66" s="83" t="str">
        <x:v>통합 및 장비 검증</x:v>
      </x:c>
      <x:c r="O66" s="83" t="str">
        <x:v>시뮬레이션·Dry Run</x:v>
      </x:c>
      <x:c r="P66" s="83" t="str">
        <x:v>내부 필수</x:v>
      </x:c>
      <x:c r="Q66" s="83" t="str">
        <x:v>P1</x:v>
      </x:c>
      <x:c r="R66" s="83" t="str">
        <x:v>26' 6월 1주</x:v>
      </x:c>
      <x:c r="S66" s="83" t="str">
        <x:v>26' 10월 1주</x:v>
      </x:c>
      <x:c r="T66" s="83" t="str">
        <x:v>SS/입력 Gate: 05-02</x:v>
      </x:c>
      <x:c r="U66" s="83" t="str"/>
      <x:c r="V66" s="83" t="str"/>
      <x:c r="W66" s="83" t="str"/>
      <x:c r="X66" s="83" t="str">
        <x:v>115</x:v>
      </x:c>
      <x:c r="Y66" s="83" t="str">
        <x:f>IF(COUNTIF($M$6:$M$79,M66)=1,"정상","중복")</x:f>
        <x:v>정상</x:v>
      </x:c>
    </x:row>
    <x:row r="67" ht="42" customHeight="1">
      <x:c r="M67" s="83" t="str">
        <x:v>11-02</x:v>
      </x:c>
      <x:c r="N67" s="83" t="str">
        <x:v>통합 및 장비 검증</x:v>
      </x:c>
      <x:c r="O67" s="83" t="str">
        <x:v>단위시험</x:v>
      </x:c>
      <x:c r="P67" s="83" t="str">
        <x:v>내부 필수</x:v>
      </x:c>
      <x:c r="Q67" s="83" t="str">
        <x:v>P1</x:v>
      </x:c>
      <x:c r="R67" s="83" t="str">
        <x:v>26' 6월 2주</x:v>
      </x:c>
      <x:c r="S67" s="83" t="str">
        <x:v>26' 11월 1주</x:v>
      </x:c>
      <x:c r="T67" s="83" t="str">
        <x:v>SS/입력 Gate: 11-01</x:v>
      </x:c>
      <x:c r="U67" s="83" t="str"/>
      <x:c r="V67" s="83" t="str">
        <x:v>외부 DLL 영역은 Mock 의존</x:v>
      </x:c>
      <x:c r="W67" s="83" t="str"/>
      <x:c r="X67" s="83" t="str">
        <x:v>115</x:v>
      </x:c>
      <x:c r="Y67" s="83" t="str">
        <x:f>IF(COUNTIF($M$6:$M$79,M67)=1,"정상","중복")</x:f>
        <x:v>정상</x:v>
      </x:c>
    </x:row>
    <x:row r="68" ht="42" customHeight="1">
      <x:c r="M68" s="83" t="str">
        <x:v>11-03</x:v>
      </x:c>
      <x:c r="N68" s="83" t="str">
        <x:v>통합 및 장비 검증</x:v>
      </x:c>
      <x:c r="O68" s="83" t="str">
        <x:v>통신 통합시험</x:v>
      </x:c>
      <x:c r="P68" s="83" t="str">
        <x:v>내부 필수</x:v>
      </x:c>
      <x:c r="Q68" s="83" t="str">
        <x:v>P1</x:v>
      </x:c>
      <x:c r="R68" s="83" t="str">
        <x:v>26' 9월 2주</x:v>
      </x:c>
      <x:c r="S68" s="83" t="str">
        <x:v>26' 11월 4주</x:v>
      </x:c>
      <x:c r="T68" s="83" t="str">
        <x:v>SS/입력 Gate: 03-01~03-07,11-02</x:v>
      </x:c>
      <x:c r="U68" s="83" t="str">
        <x:v>Y</x:v>
      </x:c>
      <x:c r="V68" s="83" t="str">
        <x:v>모든 장비 연결 필요</x:v>
      </x:c>
      <x:c r="W68" s="83" t="str"/>
      <x:c r="X68" s="83" t="str"/>
      <x:c r="Y68" s="83" t="str">
        <x:f>IF(COUNTIF($M$6:$M$79,M68)=1,"정상","중복")</x:f>
        <x:v>정상</x:v>
      </x:c>
    </x:row>
    <x:row r="69" ht="42" customHeight="1">
      <x:c r="M69" s="83" t="str">
        <x:v>11-04</x:v>
      </x:c>
      <x:c r="N69" s="83" t="str">
        <x:v>통합 및 장비 검증</x:v>
      </x:c>
      <x:c r="O69" s="83" t="str">
        <x:v>장비 실물 기능시험</x:v>
      </x:c>
      <x:c r="P69" s="83" t="str">
        <x:v>내부 필수</x:v>
      </x:c>
      <x:c r="Q69" s="83" t="str">
        <x:v>P1</x:v>
      </x:c>
      <x:c r="R69" s="83" t="str">
        <x:v>26' 10월 2주</x:v>
      </x:c>
      <x:c r="S69" s="83" t="str">
        <x:v>26' 12월 1주</x:v>
      </x:c>
      <x:c r="T69" s="83" t="str">
        <x:v>SS/입력 Gate: 05-02,06-04,07-05,09-04,11-03</x:v>
      </x:c>
      <x:c r="U69" s="83" t="str">
        <x:v>Y</x:v>
      </x:c>
      <x:c r="V69" s="83" t="str">
        <x:v>장비 가용일정 위험</x:v>
      </x:c>
      <x:c r="W69" s="83" t="str"/>
      <x:c r="X69" s="83" t="str"/>
      <x:c r="Y69" s="83" t="str">
        <x:f>IF(COUNTIF($M$6:$M$79,M69)=1,"정상","중복")</x:f>
        <x:v>정상</x:v>
      </x:c>
    </x:row>
    <x:row r="70" ht="42" customHeight="1">
      <x:c r="M70" s="83" t="str">
        <x:v>11-05</x:v>
      </x:c>
      <x:c r="N70" s="83" t="str">
        <x:v>통합 및 장비 검증</x:v>
      </x:c>
      <x:c r="O70" s="83" t="str">
        <x:v>단일·8 Head 동시시험</x:v>
      </x:c>
      <x:c r="P70" s="83" t="str">
        <x:v>내부 필수</x:v>
      </x:c>
      <x:c r="Q70" s="83" t="str">
        <x:v>P1</x:v>
      </x:c>
      <x:c r="R70" s="83" t="str">
        <x:v>26' 10월 3주</x:v>
      </x:c>
      <x:c r="S70" s="83" t="str">
        <x:v>26' 12월 1주</x:v>
      </x:c>
      <x:c r="T70" s="83" t="str">
        <x:v>SS/입력 Gate: 08-08,11-04</x:v>
      </x:c>
      <x:c r="U70" s="83" t="str"/>
      <x:c r="V70" s="83" t="str">
        <x:v>8 Head 동시 장비 필요</x:v>
      </x:c>
      <x:c r="W70" s="83" t="str"/>
      <x:c r="X70" s="83" t="str"/>
      <x:c r="Y70" s="83" t="str">
        <x:f>IF(COUNTIF($M$6:$M$79,M70)=1,"정상","중복")</x:f>
        <x:v>정상</x:v>
      </x:c>
    </x:row>
    <x:row r="71" ht="42" customHeight="1">
      <x:c r="M71" s="83" t="str">
        <x:v>11-06</x:v>
      </x:c>
      <x:c r="N71" s="83" t="str">
        <x:v>통합 및 장비 검증</x:v>
      </x:c>
      <x:c r="O71" s="83" t="str">
        <x:v>장시간 연속운전</x:v>
      </x:c>
      <x:c r="P71" s="83" t="str">
        <x:v>내부 필수</x:v>
      </x:c>
      <x:c r="Q71" s="83" t="str">
        <x:v>P1</x:v>
      </x:c>
      <x:c r="R71" s="83" t="str">
        <x:v>26' 11월 2주</x:v>
      </x:c>
      <x:c r="S71" s="83" t="str">
        <x:v>26' 12월 2주</x:v>
      </x:c>
      <x:c r="T71" s="83" t="str">
        <x:v>SS/입력 Gate: 11-04,11-05</x:v>
      </x:c>
      <x:c r="U71" s="83" t="str">
        <x:v>Y</x:v>
      </x:c>
      <x:c r="V71" s="83" t="str">
        <x:v>장비 점유·소모품 필요</x:v>
      </x:c>
      <x:c r="W71" s="83" t="str"/>
      <x:c r="X71" s="83" t="str"/>
      <x:c r="Y71" s="83" t="str">
        <x:f>IF(COUNTIF($M$6:$M$79,M71)=1,"정상","중복")</x:f>
        <x:v>정상</x:v>
      </x:c>
    </x:row>
    <x:row r="72" ht="42" customHeight="1">
      <x:c r="M72" s="83" t="str">
        <x:v>11-07</x:v>
      </x:c>
      <x:c r="N72" s="83" t="str">
        <x:v>통합 및 장비 검증</x:v>
      </x:c>
      <x:c r="O72" s="83" t="str">
        <x:v>성능·Tact 검증</x:v>
      </x:c>
      <x:c r="P72" s="83" t="str">
        <x:v>내부 필수</x:v>
      </x:c>
      <x:c r="Q72" s="83" t="str">
        <x:v>P1</x:v>
      </x:c>
      <x:c r="R72" s="83" t="str">
        <x:v>26' 11월 2주</x:v>
      </x:c>
      <x:c r="S72" s="83" t="str">
        <x:v>26' 12월 2주</x:v>
      </x:c>
      <x:c r="T72" s="83" t="str">
        <x:v>SS/입력 Gate: 11-04</x:v>
      </x:c>
      <x:c r="U72" s="83" t="str">
        <x:v>Y</x:v>
      </x:c>
      <x:c r="V72" s="83" t="str">
        <x:v>고객 Tact 목표 미확정</x:v>
      </x:c>
      <x:c r="W72" s="83" t="str"/>
      <x:c r="X72" s="83" t="str"/>
      <x:c r="Y72" s="83" t="str">
        <x:f>IF(COUNTIF($M$6:$M$79,M72)=1,"정상","중복")</x:f>
        <x:v>정상</x:v>
      </x:c>
    </x:row>
    <x:row r="73" ht="42" customHeight="1">
      <x:c r="M73" s="83" t="str">
        <x:v>11-08</x:v>
      </x:c>
      <x:c r="N73" s="83" t="str">
        <x:v>통합 및 장비 검증</x:v>
      </x:c>
      <x:c r="O73" s="83" t="str">
        <x:v>Traceability 검증</x:v>
      </x:c>
      <x:c r="P73" s="83" t="str">
        <x:v>내부 필수</x:v>
      </x:c>
      <x:c r="Q73" s="83" t="str">
        <x:v>P1</x:v>
      </x:c>
      <x:c r="R73" s="83" t="str">
        <x:v>26' 11월 1주</x:v>
      </x:c>
      <x:c r="S73" s="83" t="str">
        <x:v>26' 12월 2주</x:v>
      </x:c>
      <x:c r="T73" s="83" t="str">
        <x:v>SS/입력 Gate: 11-02~11-07</x:v>
      </x:c>
      <x:c r="U73" s="83" t="str">
        <x:v>Y</x:v>
      </x:c>
      <x:c r="V73" s="83" t="str">
        <x:v>고객 수용시험 증빙 필요</x:v>
      </x:c>
      <x:c r="W73" s="83" t="str">
        <x:v>AM-001, AM-002, AM-003, AM-004, AM-005, AM-006, AM-007, AM-008, AM-009, AM-010, AM-011, AM-012, AM-013, AM-014, AM-015, AM-016, MM-001, MM-002, MM-003, MM-004, MM-005, MM-006, MM-007, MM-008, MM-009, RD-001, RD-002, RD-003, RD-004, RD-005, RD-006, RD-007, IC-001, IC-002, IC-003, IC-004, IC-005, IC-006, IC-007, IC-008, IC-009, IC-010, IC-011, SS-001, SS-002, SS-003, SS-004, SS-005, SS-006, SS-007, SS-008</x:v>
      </x:c>
      <x:c r="X73" s="83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</x:v>
      </x:c>
      <x:c r="Y73" s="83" t="str">
        <x:f>IF(COUNTIF($M$6:$M$79,M73)=1,"정상","중복")</x:f>
        <x:v>정상</x:v>
      </x:c>
    </x:row>
    <x:row r="74" ht="42" customHeight="1">
      <x:c r="M74" s="83" t="str">
        <x:v>12-01</x:v>
      </x:c>
      <x:c r="N74" s="83" t="str">
        <x:v>현장평가/고객승인/Release</x:v>
      </x:c>
      <x:c r="O74" s="83" t="str">
        <x:v>FAT 진입검토</x:v>
      </x:c>
      <x:c r="P74" s="83" t="str">
        <x:v>내부 필수</x:v>
      </x:c>
      <x:c r="Q74" s="83" t="str">
        <x:v>P1</x:v>
      </x:c>
      <x:c r="R74" s="83" t="str">
        <x:v>26' 11월 3주</x:v>
      </x:c>
      <x:c r="S74" s="83" t="str">
        <x:v>26' 12월 1주</x:v>
      </x:c>
      <x:c r="T74" s="83" t="str">
        <x:v>SS/입력 Gate: 11-04~11-08</x:v>
      </x:c>
      <x:c r="U74" s="83" t="str">
        <x:v>Y</x:v>
      </x:c>
      <x:c r="V74" s="83" t="str">
        <x:v>진입기준 미충족 시 일정 영향</x:v>
      </x:c>
      <x:c r="W74" s="83" t="str"/>
      <x:c r="X74" s="83" t="str"/>
      <x:c r="Y74" s="83" t="str">
        <x:f>IF(COUNTIF($M$6:$M$79,M74)=1,"정상","중복")</x:f>
        <x:v>정상</x:v>
      </x:c>
    </x:row>
    <x:row r="75" ht="42" customHeight="1">
      <x:c r="M75" s="83" t="str">
        <x:v>12-02</x:v>
      </x:c>
      <x:c r="N75" s="83" t="str">
        <x:v>현장평가/고객승인/Release</x:v>
      </x:c>
      <x:c r="O75" s="83" t="str">
        <x:v>FAT·현장 Dry Run</x:v>
      </x:c>
      <x:c r="P75" s="83" t="str">
        <x:v>내부 필수</x:v>
      </x:c>
      <x:c r="Q75" s="83" t="str">
        <x:v>P1</x:v>
      </x:c>
      <x:c r="R75" s="83" t="str">
        <x:v>26' 11월 4주</x:v>
      </x:c>
      <x:c r="S75" s="83" t="str">
        <x:v>26' 12월 2주</x:v>
      </x:c>
      <x:c r="T75" s="83" t="str">
        <x:v>SS/입력 Gate: 12-01</x:v>
      </x:c>
      <x:c r="U75" s="83" t="str">
        <x:v>Y</x:v>
      </x:c>
      <x:c r="V75" s="83" t="str">
        <x:v>고객·장비 일정 필요</x:v>
      </x:c>
      <x:c r="W75" s="83" t="str"/>
      <x:c r="X75" s="83" t="str"/>
      <x:c r="Y75" s="83" t="str">
        <x:f>IF(COUNTIF($M$6:$M$79,M75)=1,"정상","중복")</x:f>
        <x:v>정상</x:v>
      </x:c>
    </x:row>
    <x:row r="76" ht="42" customHeight="1">
      <x:c r="M76" s="83" t="str">
        <x:v>12-03</x:v>
      </x:c>
      <x:c r="N76" s="83" t="str">
        <x:v>현장평가/고객승인/Release</x:v>
      </x:c>
      <x:c r="O76" s="83" t="str">
        <x:v>SAT·성능평가</x:v>
      </x:c>
      <x:c r="P76" s="83" t="str">
        <x:v>내부 필수</x:v>
      </x:c>
      <x:c r="Q76" s="83" t="str">
        <x:v>P1</x:v>
      </x:c>
      <x:c r="R76" s="83" t="str">
        <x:v>26' 12월 1주</x:v>
      </x:c>
      <x:c r="S76" s="83" t="str">
        <x:v>26' 12월 3주</x:v>
      </x:c>
      <x:c r="T76" s="83" t="str">
        <x:v>SS/입력 Gate: 12-02,11-06,11-07</x:v>
      </x:c>
      <x:c r="U76" s="83" t="str">
        <x:v>Y</x:v>
      </x:c>
      <x:c r="V76" s="83" t="str">
        <x:v>정량 승인기준 미확정</x:v>
      </x:c>
      <x:c r="W76" s="83" t="str">
        <x:v>AM-001, AM-002, AM-003, AM-004, AM-005, AM-006, AM-007, AM-008, AM-009, AM-010, AM-011, AM-012, AM-013, AM-014, AM-015, AM-016, MM-001, MM-002, MM-003, MM-004, MM-005, MM-006, MM-007, MM-008, MM-009, RD-001, RD-002, RD-003, RD-004, RD-005, RD-006, RD-007, IC-001, IC-002, IC-003, IC-004, IC-005, IC-006, IC-007, IC-008, IC-009, IC-010, IC-011, SS-001, SS-002, SS-003, SS-004, SS-005, SS-006, SS-007, SS-008</x:v>
      </x:c>
      <x:c r="X76" s="83" t="str"/>
      <x:c r="Y76" s="83" t="str">
        <x:f>IF(COUNTIF($M$6:$M$79,M76)=1,"정상","중복")</x:f>
        <x:v>정상</x:v>
      </x:c>
    </x:row>
    <x:row r="77" ht="42" customHeight="1">
      <x:c r="M77" s="83" t="str">
        <x:v>12-04</x:v>
      </x:c>
      <x:c r="N77" s="83" t="str">
        <x:v>현장평가/고객승인/Release</x:v>
      </x:c>
      <x:c r="O77" s="83" t="str">
        <x:v>Release Candidate·동결</x:v>
      </x:c>
      <x:c r="P77" s="83" t="str">
        <x:v>내부 필수</x:v>
      </x:c>
      <x:c r="Q77" s="83" t="str">
        <x:v>P1</x:v>
      </x:c>
      <x:c r="R77" s="83" t="str">
        <x:v>26' 12월 1주</x:v>
      </x:c>
      <x:c r="S77" s="83" t="str">
        <x:v>26' 12월 3주</x:v>
      </x:c>
      <x:c r="T77" s="83" t="str">
        <x:v>SS/입력 Gate: 12-02</x:v>
      </x:c>
      <x:c r="U77" s="83" t="str">
        <x:v>Y</x:v>
      </x:c>
      <x:c r="V77" s="83" t="str">
        <x:v>외부 DLL 재배포 권한 확인</x:v>
      </x:c>
      <x:c r="W77" s="83" t="str"/>
      <x:c r="X77" s="83" t="str"/>
      <x:c r="Y77" s="83" t="str">
        <x:f>IF(COUNTIF($M$6:$M$79,M77)=1,"정상","중복")</x:f>
        <x:v>정상</x:v>
      </x:c>
    </x:row>
    <x:row r="78" ht="42" customHeight="1">
      <x:c r="M78" s="83" t="str">
        <x:v>12-05</x:v>
      </x:c>
      <x:c r="N78" s="83" t="str">
        <x:v>현장평가/고객승인/Release</x:v>
      </x:c>
      <x:c r="O78" s="83" t="str">
        <x:v>문서·교육·인수인계</x:v>
      </x:c>
      <x:c r="P78" s="83" t="str">
        <x:v>내부 필수</x:v>
      </x:c>
      <x:c r="Q78" s="83" t="str">
        <x:v>P2</x:v>
      </x:c>
      <x:c r="R78" s="83" t="str">
        <x:v>26' 12월 2주</x:v>
      </x:c>
      <x:c r="S78" s="83" t="str">
        <x:v>26' 12월 4주</x:v>
      </x:c>
      <x:c r="T78" s="83" t="str">
        <x:v>SS/입력 Gate: 12-03,12-04</x:v>
      </x:c>
      <x:c r="U78" s="83" t="str"/>
      <x:c r="V78" s="83" t="str">
        <x:v>문서 승인자·교육일정 필요</x:v>
      </x:c>
      <x:c r="W78" s="83" t="str"/>
      <x:c r="X78" s="83" t="str"/>
      <x:c r="Y78" s="83" t="str">
        <x:f>IF(COUNTIF($M$6:$M$79,M78)=1,"정상","중복")</x:f>
        <x:v>정상</x:v>
      </x:c>
    </x:row>
    <x:row r="79" ht="42" customHeight="1">
      <x:c r="M79" s="83" t="str">
        <x:v>12-06</x:v>
      </x:c>
      <x:c r="N79" s="83" t="str">
        <x:v>현장평가/고객승인/Release</x:v>
      </x:c>
      <x:c r="O79" s="83" t="str">
        <x:v>고객 승인·정식 Release</x:v>
      </x:c>
      <x:c r="P79" s="83" t="str">
        <x:v>내부 필수</x:v>
      </x:c>
      <x:c r="Q79" s="83" t="str">
        <x:v>P1</x:v>
      </x:c>
      <x:c r="R79" s="83" t="str">
        <x:v>26' 12월 3주</x:v>
      </x:c>
      <x:c r="S79" s="83" t="str">
        <x:v>26' 12월 4주</x:v>
      </x:c>
      <x:c r="T79" s="83" t="str">
        <x:v>SS/입력 Gate: 12-03~12-05</x:v>
      </x:c>
      <x:c r="U79" s="83" t="str">
        <x:v>Y</x:v>
      </x:c>
      <x:c r="V79" s="83" t="str">
        <x:v>고객 Sign-off 일정</x:v>
      </x:c>
      <x:c r="W79" s="83" t="str"/>
      <x:c r="X79" s="83" t="str"/>
      <x:c r="Y79" s="83" t="str">
        <x:f>IF(COUNTIF($M$6:$M$79,M79)=1,"정상","중복")</x:f>
        <x:v>정상</x:v>
      </x:c>
    </x:row>
  </x:sheetData>
  <x:mergeCells>
    <x:mergeCell ref="A1:Y1"/>
    <x:mergeCell ref="A2:Y2"/>
  </x:mergeCells>
  <x:conditionalFormatting sqref="F14:F25">
    <x:cfRule type="containsText" dxfId="19" priority="1" operator="containsText" text="Critical"/>
  </x:conditionalFormatting>
  <x:conditionalFormatting sqref="P6:P79">
    <x:cfRule type="containsText" dxfId="20" priority="2" operator="containsText" text="Gap 보완"/>
  </x:conditionalFormatting>
  <x:dataValidations count="3">
    <x:dataValidation type="list" sqref="F14:F25">
      <x:formula1>"완료,진행 중,예정,의사결정 필요,BLOCKED"</x:formula1>
    </x:dataValidation>
    <x:dataValidation type="list" sqref="P6:P79">
      <x:formula1>"Gap 보완,내부 필수,기존 통합"</x:formula1>
    </x:dataValidation>
    <x:dataValidation type="list" sqref="Q6:Q79">
      <x:formula1>"P1,P2,P3"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c38bbded8b6048c4"/>
    <x:tablePart xmlns:r="http://schemas.openxmlformats.org/officeDocument/2006/relationships" r:id="R6f5c49502fc94ac5"/>
    <x:tablePart xmlns:r="http://schemas.openxmlformats.org/officeDocument/2006/relationships" r:id="R0e2c9628ad28499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  <x:selection pane="bottomRight" activeCell="C6" sqref="C6"/>
    </x:sheetView>
  </x:sheetViews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52" hidden="0" customWidth="1"/>
    <x:col min="5" max="5" width="36" hidden="0" customWidth="1"/>
    <x:col min="6" max="6" width="20" hidden="0" customWidth="1"/>
    <x:col min="7" max="7" width="14" hidden="0" customWidth="1"/>
    <x:col min="8" max="8" width="32" hidden="0" customWidth="1"/>
    <x:col min="9" max="9" width="40" hidden="0" customWidth="1"/>
  </x:cols>
  <x:sheetData>
    <x:row r="1" ht="30" customHeight="1">
      <x:c r="A1" s="62" t="str">
        <x:v>06 검증 체크리스트</x:v>
      </x:c>
      <x:c r="B1" s="63"/>
      <x:c r="C1" s="63"/>
      <x:c r="D1" s="63"/>
      <x:c r="E1" s="63"/>
      <x:c r="F1" s="63"/>
      <x:c r="G1" s="63"/>
      <x:c r="H1" s="63"/>
      <x:c r="I1" s="64"/>
    </x:row>
    <x:row r="2" ht="26" customHeight="1">
      <x:c r="A2" s="67" t="str">
        <x:v>단위·통합·실장비·장시간·성능·고객 요구 Traceability를 증빙 기준으로 관리</x:v>
      </x:c>
      <x:c r="B2" s="67"/>
      <x:c r="C2" s="67"/>
      <x:c r="D2" s="67"/>
      <x:c r="E2" s="67"/>
      <x:c r="F2" s="67"/>
      <x:c r="G2" s="67"/>
      <x:c r="H2" s="67"/>
      <x:c r="I2" s="67"/>
    </x:row>
    <x:row r="5" ht="30" customHeight="1">
      <x:c r="A5" s="16" t="str">
        <x:v>검증 ID</x:v>
      </x:c>
      <x:c r="B5" s="16" t="str">
        <x:v>검증 수준</x:v>
      </x:c>
      <x:c r="C5" s="16" t="str">
        <x:v>대상 요구/WBS</x:v>
      </x:c>
      <x:c r="D5" s="16" t="str">
        <x:v>완료 판정기준</x:v>
      </x:c>
      <x:c r="E5" s="16" t="str">
        <x:v>검증방법</x:v>
      </x:c>
      <x:c r="F5" s="16" t="str">
        <x:v>관련 WBS</x:v>
      </x:c>
      <x:c r="G5" s="16" t="str">
        <x:v>현재상태</x:v>
      </x:c>
      <x:c r="H5" s="16" t="str">
        <x:v>증빙</x:v>
      </x:c>
      <x:c r="I5" s="16" t="str">
        <x:v>제약/후속</x:v>
      </x:c>
    </x:row>
    <x:row r="6" ht="42" customHeight="1">
      <x:c r="A6" s="83" t="str">
        <x:v>TR-AM-001</x:v>
      </x:c>
      <x:c r="B6" s="83" t="str">
        <x:v>고객 요구 Traceability</x:v>
      </x:c>
      <x:c r="C6" s="83" t="str">
        <x:v>AM-001</x:v>
      </x:c>
      <x:c r="D6" s="83" t="str">
        <x:v>Glass 정보 모니터링의 정상·경계·오류·복구 경로가 Sequence/Driver에 연결되고, 설정 재로딩·로그·시험증빙으로 원문 상세 요구를 충족한다.</x:v>
      </x:c>
      <x:c r="E6" s="83" t="str">
        <x:v>코드/회귀→통합→실장비 Witness</x:v>
      </x:c>
      <x:c r="F6" s="83" t="str">
        <x:v>03-01, 02-01</x:v>
      </x:c>
      <x:c r="G6" s="83" t="str">
        <x:v>미실시</x:v>
      </x:c>
      <x:c r="H6" s="83" t="str"/>
      <x:c r="I6" s="83" t="str"/>
    </x:row>
    <x:row r="7" ht="42" customHeight="1">
      <x:c r="A7" s="83" t="str">
        <x:v>TR-AM-002</x:v>
      </x:c>
      <x:c r="B7" s="83" t="str">
        <x:v>고객 요구 Traceability</x:v>
      </x:c>
      <x:c r="C7" s="83" t="str">
        <x:v>AM-002</x:v>
      </x:c>
      <x:c r="D7" s="83" t="str">
        <x:v>알람 상태 모니터링의 정상·경계·오류·복구 경로가 Sequence/Driver에 연결되고, 설정 재로딩·로그·시험증빙으로 원문 상세 요구를 충족한다.</x:v>
      </x:c>
      <x:c r="E7" s="83" t="str">
        <x:v>코드/회귀→통합→실장비 Witness</x:v>
      </x:c>
      <x:c r="F7" s="83" t="str">
        <x:v>02-05, 10-01</x:v>
      </x:c>
      <x:c r="G7" s="83" t="str">
        <x:v>미실시</x:v>
      </x:c>
      <x:c r="H7" s="83" t="str"/>
      <x:c r="I7" s="83" t="str"/>
    </x:row>
    <x:row r="8" ht="42" customHeight="1">
      <x:c r="A8" s="83" t="str">
        <x:v>TR-AM-003</x:v>
      </x:c>
      <x:c r="B8" s="83" t="str">
        <x:v>고객 요구 Traceability</x:v>
      </x:c>
      <x:c r="C8" s="83" t="str">
        <x:v>AM-003</x:v>
      </x:c>
      <x:c r="D8" s="83" t="str">
        <x:v>CIM 연결/해제/재연결 상태가 1초 이내 UI에 반영되고, 끊김·Timeout·재전송 로그와 Alarm이 남는다.</x:v>
      </x:c>
      <x:c r="E8" s="83" t="str">
        <x:v>코드/회귀→통합→실장비 Witness</x:v>
      </x:c>
      <x:c r="F8" s="83" t="str">
        <x:v>03-02</x:v>
      </x:c>
      <x:c r="G8" s="83" t="str">
        <x:v>미실시</x:v>
      </x:c>
      <x:c r="H8" s="83" t="str"/>
      <x:c r="I8" s="83" t="str"/>
    </x:row>
    <x:row r="9" ht="42" customHeight="1">
      <x:c r="A9" s="83" t="str">
        <x:v>TR-AM-004</x:v>
      </x:c>
      <x:c r="B9" s="83" t="str">
        <x:v>고객 요구 Traceability</x:v>
      </x:c>
      <x:c r="C9" s="83" t="str">
        <x:v>AM-004</x:v>
      </x:c>
      <x:c r="D9" s="83" t="str">
        <x:v>광학계 상태 모니터링의 정상·경계·오류·복구 경로가 Sequence/Driver에 연결되고, 설정 재로딩·로그·시험증빙으로 원문 상세 요구를 충족한다.</x:v>
      </x:c>
      <x:c r="E9" s="83" t="str">
        <x:v>코드/회귀→통합→실장비 Witness</x:v>
      </x:c>
      <x:c r="F9" s="83" t="str">
        <x:v>02-06, 09-02</x:v>
      </x:c>
      <x:c r="G9" s="83" t="str">
        <x:v>미실시</x:v>
      </x:c>
      <x:c r="H9" s="83" t="str"/>
      <x:c r="I9" s="83" t="str"/>
    </x:row>
    <x:row r="10" ht="42" customHeight="1">
      <x:c r="A10" s="83" t="str">
        <x:v>TR-AM-005</x:v>
      </x:c>
      <x:c r="B10" s="83" t="str">
        <x:v>고객 요구 Traceability</x:v>
      </x:c>
      <x:c r="C10" s="83" t="str">
        <x:v>AM-005</x:v>
      </x:c>
      <x:c r="D10" s="83" t="str">
        <x:v>Align 결과 모니터링의 정상·경계·오류·복구 경로가 Sequence/Driver에 연결되고, 설정 재로딩·로그·시험증빙으로 원문 상세 요구를 충족한다.</x:v>
      </x:c>
      <x:c r="E10" s="83" t="str">
        <x:v>코드/회귀→통합→실장비 Witness</x:v>
      </x:c>
      <x:c r="F10" s="83" t="str">
        <x:v>07-01, 08-04</x:v>
      </x:c>
      <x:c r="G10" s="83" t="str">
        <x:v>미실시</x:v>
      </x:c>
      <x:c r="H10" s="83" t="str"/>
      <x:c r="I10" s="83" t="str"/>
    </x:row>
    <x:row r="11" ht="42" customHeight="1">
      <x:c r="A11" s="83" t="str">
        <x:v>TR-AM-006</x:v>
      </x:c>
      <x:c r="B11" s="83" t="str">
        <x:v>고객 요구 Traceability</x:v>
      </x:c>
      <x:c r="C11" s="83" t="str">
        <x:v>AM-006</x:v>
      </x:c>
      <x:c r="D11" s="83" t="str">
        <x:v>Interface 상태 모니터링의 정상·경계·오류·복구 경로가 Sequence/Driver에 연결되고, 설정 재로딩·로그·시험증빙으로 원문 상세 요구를 충족한다.</x:v>
      </x:c>
      <x:c r="E11" s="83" t="str">
        <x:v>코드/회귀→통합→실장비 Witness</x:v>
      </x:c>
      <x:c r="F11" s="83" t="str">
        <x:v>03-07, 09-05</x:v>
      </x:c>
      <x:c r="G11" s="83" t="str">
        <x:v>미실시</x:v>
      </x:c>
      <x:c r="H11" s="83" t="str"/>
      <x:c r="I11" s="83" t="str"/>
    </x:row>
    <x:row r="12" ht="42" customHeight="1">
      <x:c r="A12" s="83" t="str">
        <x:v>TR-AM-007</x:v>
      </x:c>
      <x:c r="B12" s="83" t="str">
        <x:v>고객 요구 Traceability</x:v>
      </x:c>
      <x:c r="C12" s="83" t="str">
        <x:v>AM-007</x:v>
      </x:c>
      <x:c r="D12" s="83" t="str">
        <x:v>전체 인터락 모니터링의 정상·경계·오류·복구 경로가 Sequence/Driver에 연결되고, 설정 재로딩·로그·시험증빙으로 원문 상세 요구를 충족한다.</x:v>
      </x:c>
      <x:c r="E12" s="83" t="str">
        <x:v>코드/회귀→통합→실장비 Witness</x:v>
      </x:c>
      <x:c r="F12" s="83" t="str">
        <x:v>10-01, 02-01</x:v>
      </x:c>
      <x:c r="G12" s="83" t="str">
        <x:v>미실시</x:v>
      </x:c>
      <x:c r="H12" s="83" t="str"/>
      <x:c r="I12" s="83" t="str"/>
    </x:row>
    <x:row r="13" ht="42" customHeight="1">
      <x:c r="A13" s="83" t="str">
        <x:v>TR-AM-008</x:v>
      </x:c>
      <x:c r="B13" s="83" t="str">
        <x:v>고객 요구 Traceability</x:v>
      </x:c>
      <x:c r="C13" s="83" t="str">
        <x:v>AM-008</x:v>
      </x:c>
      <x:c r="D13" s="83" t="str">
        <x:v>Sequence 진행 모니터링의 정상·경계·오류·복구 경로가 Sequence/Driver에 연결되고, 설정 재로딩·로그·시험증빙으로 원문 상세 요구를 충족한다.</x:v>
      </x:c>
      <x:c r="E13" s="83" t="str">
        <x:v>코드/회귀→통합→실장비 Witness</x:v>
      </x:c>
      <x:c r="F13" s="83" t="str">
        <x:v>02-01, 05-02</x:v>
      </x:c>
      <x:c r="G13" s="83" t="str">
        <x:v>미실시</x:v>
      </x:c>
      <x:c r="H13" s="83" t="str"/>
      <x:c r="I13" s="83" t="str"/>
    </x:row>
    <x:row r="14" ht="42" customHeight="1">
      <x:c r="A14" s="83" t="str">
        <x:v>TR-AM-009</x:v>
      </x:c>
      <x:c r="B14" s="83" t="str">
        <x:v>고객 요구 Traceability</x:v>
      </x:c>
      <x:c r="C14" s="83" t="str">
        <x:v>AM-009</x:v>
      </x:c>
      <x:c r="D14" s="83" t="str">
        <x:v>운영 환경 현황 모니터링의 정상·경계·오류·복구 경로가 Sequence/Driver에 연결되고, 설정 재로딩·로그·시험증빙으로 원문 상세 요구를 충족한다.</x:v>
      </x:c>
      <x:c r="E14" s="83" t="str">
        <x:v>코드/회귀→통합→실장비 Witness</x:v>
      </x:c>
      <x:c r="F14" s="83" t="str">
        <x:v>02-01, 02-04</x:v>
      </x:c>
      <x:c r="G14" s="83" t="str">
        <x:v>미실시</x:v>
      </x:c>
      <x:c r="H14" s="83" t="str"/>
      <x:c r="I14" s="83" t="str"/>
    </x:row>
    <x:row r="15" ht="42" customHeight="1">
      <x:c r="A15" s="83" t="str">
        <x:v>TR-AM-010</x:v>
      </x:c>
      <x:c r="B15" s="83" t="str">
        <x:v>고객 요구 Traceability</x:v>
      </x:c>
      <x:c r="C15" s="83" t="str">
        <x:v>AM-010</x:v>
      </x:c>
      <x:c r="D15" s="83" t="str">
        <x:v>구동부 상태 모니터링의 정상·경계·오류·복구 경로가 Sequence/Driver에 연결되고, 설정 재로딩·로그·시험증빙으로 원문 상세 요구를 충족한다.</x:v>
      </x:c>
      <x:c r="E15" s="83" t="str">
        <x:v>코드/회귀→통합→실장비 Witness</x:v>
      </x:c>
      <x:c r="F15" s="83" t="str">
        <x:v>02-06, 06-01</x:v>
      </x:c>
      <x:c r="G15" s="83" t="str">
        <x:v>미실시</x:v>
      </x:c>
      <x:c r="H15" s="83" t="str"/>
      <x:c r="I15" s="83" t="str"/>
    </x:row>
    <x:row r="16" ht="42" customHeight="1">
      <x:c r="A16" s="83" t="str">
        <x:v>TR-AM-011</x:v>
      </x:c>
      <x:c r="B16" s="83" t="str">
        <x:v>고객 요구 Traceability</x:v>
      </x:c>
      <x:c r="C16" s="83" t="str">
        <x:v>AM-011</x:v>
      </x:c>
      <x:c r="D16" s="83" t="str">
        <x:v>대표 Recipe로 PreCheck→Align→Optic→Stage/MOF→Scan→Review→Complete가 1회 이상 실장비에서 완료되고 0선 방어 분기가 검증된다.</x:v>
      </x:c>
      <x:c r="E16" s="83" t="str">
        <x:v>코드/회귀→통합→실장비 Witness</x:v>
      </x:c>
      <x:c r="F16" s="83" t="str">
        <x:v>05-02, 08-06</x:v>
      </x:c>
      <x:c r="G16" s="83" t="str">
        <x:v>미실시</x:v>
      </x:c>
      <x:c r="H16" s="83" t="str"/>
      <x:c r="I16" s="83" t="str"/>
    </x:row>
    <x:row r="17" ht="42" customHeight="1">
      <x:c r="A17" s="83" t="str">
        <x:v>TR-AM-012</x:v>
      </x:c>
      <x:c r="B17" s="83" t="str">
        <x:v>고객 요구 Traceability</x:v>
      </x:c>
      <x:c r="C17" s="83" t="str">
        <x:v>AM-012</x:v>
      </x:c>
      <x:c r="D17" s="83" t="str">
        <x:v>APC 파일 유효성·Recipe 일치·3/2/1점 규칙을 검증한 뒤 Offset이 적용되고, Power 보정이 Tolerance 내 종료되며 원본/적용값이 이력화된다.</x:v>
      </x:c>
      <x:c r="E17" s="83" t="str">
        <x:v>코드/회귀→통합→실장비 Witness</x:v>
      </x:c>
      <x:c r="F17" s="83" t="str">
        <x:v>09-04, 07-05</x:v>
      </x:c>
      <x:c r="G17" s="83" t="str">
        <x:v>미실시</x:v>
      </x:c>
      <x:c r="H17" s="83" t="str"/>
      <x:c r="I17" s="83" t="str"/>
    </x:row>
    <x:row r="18" ht="42" customHeight="1">
      <x:c r="A18" s="83" t="str">
        <x:v>TR-AM-013</x:v>
      </x:c>
      <x:c r="B18" s="83" t="str">
        <x:v>고객 요구 Traceability</x:v>
      </x:c>
      <x:c r="C18" s="83" t="str">
        <x:v>AM-013</x:v>
      </x:c>
      <x:c r="D18" s="83" t="str">
        <x:v>운전 모드 제어의 정상·경계·오류·복구 경로가 Sequence/Driver에 연결되고, 설정 재로딩·로그·시험증빙으로 원문 상세 요구를 충족한다.</x:v>
      </x:c>
      <x:c r="E18" s="83" t="str">
        <x:v>코드/회귀→통합→실장비 Witness</x:v>
      </x:c>
      <x:c r="F18" s="83" t="str">
        <x:v>05-04</x:v>
      </x:c>
      <x:c r="G18" s="83" t="str">
        <x:v>미실시</x:v>
      </x:c>
      <x:c r="H18" s="83" t="str"/>
      <x:c r="I18" s="83" t="str"/>
    </x:row>
    <x:row r="19" ht="42" customHeight="1">
      <x:c r="A19" s="83" t="str">
        <x:v>TR-AM-014</x:v>
      </x:c>
      <x:c r="B19" s="83" t="str">
        <x:v>고객 요구 Traceability</x:v>
      </x:c>
      <x:c r="C19" s="83" t="str">
        <x:v>AM-014</x:v>
      </x:c>
      <x:c r="D19" s="83" t="str">
        <x:v>PPID 변경 1건으로 Process/Stage/Vision Recipe와 Laser/Scanner/DOE/보정 Table이 원자적으로 갱신되고 실패 시 이전 상태로 복원된다.</x:v>
      </x:c>
      <x:c r="E19" s="83" t="str">
        <x:v>코드/회귀→통합→실장비 Witness</x:v>
      </x:c>
      <x:c r="F19" s="83" t="str">
        <x:v>05-05</x:v>
      </x:c>
      <x:c r="G19" s="83" t="str">
        <x:v>미실시</x:v>
      </x:c>
      <x:c r="H19" s="83" t="str"/>
      <x:c r="I19" s="83" t="str"/>
    </x:row>
    <x:row r="20" ht="42" customHeight="1">
      <x:c r="A20" s="83" t="str">
        <x:v>TR-AM-015</x:v>
      </x:c>
      <x:c r="B20" s="83" t="str">
        <x:v>고객 요구 Traceability</x:v>
      </x:c>
      <x:c r="C20" s="83" t="str">
        <x:v>AM-015</x:v>
      </x:c>
      <x:c r="D20" s="83" t="str">
        <x:v>Interface 초기화의 정상·경계·오류·복구 경로가 Sequence/Driver에 연결되고, 설정 재로딩·로그·시험증빙으로 원문 상세 요구를 충족한다.</x:v>
      </x:c>
      <x:c r="E20" s="83" t="str">
        <x:v>코드/회귀→통합→실장비 Witness</x:v>
      </x:c>
      <x:c r="F20" s="83" t="str">
        <x:v>03-07, 10-02</x:v>
      </x:c>
      <x:c r="G20" s="83" t="str">
        <x:v>미실시</x:v>
      </x:c>
      <x:c r="H20" s="83" t="str"/>
      <x:c r="I20" s="83" t="str"/>
    </x:row>
    <x:row r="21" ht="42" customHeight="1">
      <x:c r="A21" s="83" t="str">
        <x:v>TR-AM-016</x:v>
      </x:c>
      <x:c r="B21" s="83" t="str">
        <x:v>고객 요구 Traceability</x:v>
      </x:c>
      <x:c r="C21" s="83" t="str">
        <x:v>AM-016</x:v>
      </x:c>
      <x:c r="D21" s="83" t="str">
        <x:v>주요 운영 환경 설정의 정상·경계·오류·복구 경로가 Sequence/Driver에 연결되고, 설정 재로딩·로그·시험증빙으로 원문 상세 요구를 충족한다.</x:v>
      </x:c>
      <x:c r="E21" s="83" t="str">
        <x:v>코드/회귀→통합→실장비 Witness</x:v>
      </x:c>
      <x:c r="F21" s="83" t="str">
        <x:v>02-04, 04-06</x:v>
      </x:c>
      <x:c r="G21" s="83" t="str">
        <x:v>미실시</x:v>
      </x:c>
      <x:c r="H21" s="83" t="str"/>
      <x:c r="I21" s="83" t="str"/>
    </x:row>
    <x:row r="22" ht="42" customHeight="1">
      <x:c r="A22" s="83" t="str">
        <x:v>TR-MM-001</x:v>
      </x:c>
      <x:c r="B22" s="83" t="str">
        <x:v>고객 요구 Traceability</x:v>
      </x:c>
      <x:c r="C22" s="83" t="str">
        <x:v>MM-001</x:v>
      </x:c>
      <x:c r="D22" s="83" t="str">
        <x:v>서보/구동부 상태 확인의 정상·경계·오류·복구 경로가 Sequence/Driver에 연결되고, 설정 재로딩·로그·시험증빙으로 원문 상세 요구를 충족한다.</x:v>
      </x:c>
      <x:c r="E22" s="83" t="str">
        <x:v>코드/회귀→통합→실장비 Witness</x:v>
      </x:c>
      <x:c r="F22" s="83" t="str">
        <x:v>06-01</x:v>
      </x:c>
      <x:c r="G22" s="83" t="str">
        <x:v>미실시</x:v>
      </x:c>
      <x:c r="H22" s="83" t="str"/>
      <x:c r="I22" s="83" t="str"/>
    </x:row>
    <x:row r="23" ht="42" customHeight="1">
      <x:c r="A23" s="83" t="str">
        <x:v>TR-MM-002</x:v>
      </x:c>
      <x:c r="B23" s="83" t="str">
        <x:v>고객 요구 Traceability</x:v>
      </x:c>
      <x:c r="C23" s="83" t="str">
        <x:v>MM-002</x:v>
      </x:c>
      <x:c r="D23" s="83" t="str">
        <x:v>구동부 기본 제어의 정상·경계·오류·복구 경로가 Sequence/Driver에 연결되고, 설정 재로딩·로그·시험증빙으로 원문 상세 요구를 충족한다.</x:v>
      </x:c>
      <x:c r="E23" s="83" t="str">
        <x:v>코드/회귀→통합→실장비 Witness</x:v>
      </x:c>
      <x:c r="F23" s="83" t="str">
        <x:v>06-01</x:v>
      </x:c>
      <x:c r="G23" s="83" t="str">
        <x:v>미실시</x:v>
      </x:c>
      <x:c r="H23" s="83" t="str"/>
      <x:c r="I23" s="83" t="str"/>
    </x:row>
    <x:row r="24" ht="42" customHeight="1">
      <x:c r="A24" s="83" t="str">
        <x:v>TR-MM-003</x:v>
      </x:c>
      <x:c r="B24" s="83" t="str">
        <x:v>고객 요구 Traceability</x:v>
      </x:c>
      <x:c r="C24" s="83" t="str">
        <x:v>MM-003</x:v>
      </x:c>
      <x:c r="D24" s="83" t="str">
        <x:v>Task 및 서보 리셋의 정상·경계·오류·복구 경로가 Sequence/Driver에 연결되고, 설정 재로딩·로그·시험증빙으로 원문 상세 요구를 충족한다.</x:v>
      </x:c>
      <x:c r="E24" s="83" t="str">
        <x:v>코드/회귀→통합→실장비 Witness</x:v>
      </x:c>
      <x:c r="F24" s="83" t="str">
        <x:v>05-04, 06-01</x:v>
      </x:c>
      <x:c r="G24" s="83" t="str">
        <x:v>미실시</x:v>
      </x:c>
      <x:c r="H24" s="83" t="str"/>
      <x:c r="I24" s="83" t="str"/>
    </x:row>
    <x:row r="25" ht="42" customHeight="1">
      <x:c r="A25" s="83" t="str">
        <x:v>TR-MM-004</x:v>
      </x:c>
      <x:c r="B25" s="83" t="str">
        <x:v>고객 요구 Traceability</x:v>
      </x:c>
      <x:c r="C25" s="83" t="str">
        <x:v>MM-004</x:v>
      </x:c>
      <x:c r="D25" s="83" t="str">
        <x:v>매뉴얼 가공 조건 설정의 정상·경계·오류·복구 경로가 Sequence/Driver에 연결되고, 설정 재로딩·로그·시험증빙으로 원문 상세 요구를 충족한다.</x:v>
      </x:c>
      <x:c r="E25" s="83" t="str">
        <x:v>코드/회귀→통합→실장비 Witness</x:v>
      </x:c>
      <x:c r="F25" s="83" t="str">
        <x:v>06-02</x:v>
      </x:c>
      <x:c r="G25" s="83" t="str">
        <x:v>미실시</x:v>
      </x:c>
      <x:c r="H25" s="83" t="str"/>
      <x:c r="I25" s="83" t="str"/>
    </x:row>
    <x:row r="26" ht="42" customHeight="1">
      <x:c r="A26" s="83" t="str">
        <x:v>TR-MM-005</x:v>
      </x:c>
      <x:c r="B26" s="83" t="str">
        <x:v>고객 요구 Traceability</x:v>
      </x:c>
      <x:c r="C26" s="83" t="str">
        <x:v>MM-005</x:v>
      </x:c>
      <x:c r="D26" s="83" t="str">
        <x:v>TEG 전용 Recipe/위치/Offset을 저장하고 4개 Align Camera 영역에서 STEP 가공 후 Vision 확인 결과를 저장한다.</x:v>
      </x:c>
      <x:c r="E26" s="83" t="str">
        <x:v>코드/회귀→통합→실장비 Witness</x:v>
      </x:c>
      <x:c r="F26" s="83" t="str">
        <x:v>06-03</x:v>
      </x:c>
      <x:c r="G26" s="83" t="str">
        <x:v>미실시</x:v>
      </x:c>
      <x:c r="H26" s="83" t="str"/>
      <x:c r="I26" s="83" t="str"/>
    </x:row>
    <x:row r="27" ht="42" customHeight="1">
      <x:c r="A27" s="83" t="str">
        <x:v>TR-MM-006</x:v>
      </x:c>
      <x:c r="B27" s="83" t="str">
        <x:v>고객 요구 Traceability</x:v>
      </x:c>
      <x:c r="C27" s="83" t="str">
        <x:v>MM-006</x:v>
      </x:c>
      <x:c r="D27" s="83" t="str">
        <x:v>DOE 16 Branch 전부를 선택 측정할 수 있고 Review 기준 Branch·3줄/1줄 규칙·분석 결과가 재현된다.</x:v>
      </x:c>
      <x:c r="E27" s="83" t="str">
        <x:v>코드/회귀→통합→실장비 Witness</x:v>
      </x:c>
      <x:c r="F27" s="83" t="str">
        <x:v>07-08, 07-04</x:v>
      </x:c>
      <x:c r="G27" s="83" t="str">
        <x:v>미실시</x:v>
      </x:c>
      <x:c r="H27" s="83" t="str"/>
      <x:c r="I27" s="83" t="str"/>
    </x:row>
    <x:row r="28" ht="42" customHeight="1">
      <x:c r="A28" s="83" t="str">
        <x:v>TR-MM-007</x:v>
      </x:c>
      <x:c r="B28" s="83" t="str">
        <x:v>고객 요구 Traceability</x:v>
      </x:c>
      <x:c r="C28" s="83" t="str">
        <x:v>MM-007</x:v>
      </x:c>
      <x:c r="D28" s="83" t="str">
        <x:v>MOF 위치 모니터링의 정상·경계·오류·복구 경로가 Sequence/Driver에 연결되고, 설정 재로딩·로그·시험증빙으로 원문 상세 요구를 충족한다.</x:v>
      </x:c>
      <x:c r="E28" s="83" t="str">
        <x:v>코드/회귀→통합→실장비 Witness</x:v>
      </x:c>
      <x:c r="F28" s="83" t="str">
        <x:v>06-04</x:v>
      </x:c>
      <x:c r="G28" s="83" t="str">
        <x:v>미실시</x:v>
      </x:c>
      <x:c r="H28" s="83" t="str"/>
      <x:c r="I28" s="83" t="str"/>
    </x:row>
    <x:row r="29" ht="42" customHeight="1">
      <x:c r="A29" s="83" t="str">
        <x:v>TR-MM-008</x:v>
      </x:c>
      <x:c r="B29" s="83" t="str">
        <x:v>고객 요구 Traceability</x:v>
      </x:c>
      <x:c r="C29" s="83" t="str">
        <x:v>MM-008</x:v>
      </x:c>
      <x:c r="D29" s="83" t="str">
        <x:v>MOF 모션 제어의 정상·경계·오류·복구 경로가 Sequence/Driver에 연결되고, 설정 재로딩·로그·시험증빙으로 원문 상세 요구를 충족한다.</x:v>
      </x:c>
      <x:c r="E29" s="83" t="str">
        <x:v>코드/회귀→통합→실장비 Witness</x:v>
      </x:c>
      <x:c r="F29" s="83" t="str">
        <x:v>06-04</x:v>
      </x:c>
      <x:c r="G29" s="83" t="str">
        <x:v>미실시</x:v>
      </x:c>
      <x:c r="H29" s="83" t="str"/>
      <x:c r="I29" s="83" t="str"/>
    </x:row>
    <x:row r="30" ht="42" customHeight="1">
      <x:c r="A30" s="83" t="str">
        <x:v>TR-MM-009</x:v>
      </x:c>
      <x:c r="B30" s="83" t="str">
        <x:v>고객 요구 Traceability</x:v>
      </x:c>
      <x:c r="C30" s="83" t="str">
        <x:v>MM-009</x:v>
      </x:c>
      <x:c r="D30" s="83" t="str">
        <x:v>MOF 대상 Head 선택의 정상·경계·오류·복구 경로가 Sequence/Driver에 연결되고, 설정 재로딩·로그·시험증빙으로 원문 상세 요구를 충족한다.</x:v>
      </x:c>
      <x:c r="E30" s="83" t="str">
        <x:v>코드/회귀→통합→실장비 Witness</x:v>
      </x:c>
      <x:c r="F30" s="83" t="str">
        <x:v>08-08</x:v>
      </x:c>
      <x:c r="G30" s="83" t="str">
        <x:v>미실시</x:v>
      </x:c>
      <x:c r="H30" s="83" t="str"/>
      <x:c r="I30" s="83" t="str"/>
    </x:row>
    <x:row r="31" ht="42" customHeight="1">
      <x:c r="A31" s="83" t="str">
        <x:v>TR-RD-001</x:v>
      </x:c>
      <x:c r="B31" s="83" t="str">
        <x:v>고객 요구 Traceability</x:v>
      </x:c>
      <x:c r="C31" s="83" t="str">
        <x:v>RD-001</x:v>
      </x:c>
      <x:c r="D31" s="83" t="str">
        <x:v>Recipe 생성/복사/삭제가 동작하며 복사 시 Recipe만 또는 보정데이터 포함을 선택하고 변경 이력이 남는다.</x:v>
      </x:c>
      <x:c r="E31" s="83" t="str">
        <x:v>코드/회귀→통합→실장비 Witness</x:v>
      </x:c>
      <x:c r="F31" s="83" t="str">
        <x:v>04-01</x:v>
      </x:c>
      <x:c r="G31" s="83" t="str">
        <x:v>미실시</x:v>
      </x:c>
      <x:c r="H31" s="83" t="str"/>
      <x:c r="I31" s="83" t="str"/>
    </x:row>
    <x:row r="32" ht="42" customHeight="1">
      <x:c r="A32" s="83" t="str">
        <x:v>TR-RD-002</x:v>
      </x:c>
      <x:c r="B32" s="83" t="str">
        <x:v>고객 요구 Traceability</x:v>
      </x:c>
      <x:c r="C32" s="83" t="str">
        <x:v>RD-002</x:v>
      </x:c>
      <x:c r="D32" s="83" t="str">
        <x:v>공통 Recipe 데이터 입력의 정상·경계·오류·복구 경로가 Sequence/Driver에 연결되고, 설정 재로딩·로그·시험증빙으로 원문 상세 요구를 충족한다.</x:v>
      </x:c>
      <x:c r="E32" s="83" t="str">
        <x:v>코드/회귀→통합→실장비 Witness</x:v>
      </x:c>
      <x:c r="F32" s="83" t="str">
        <x:v>04-02</x:v>
      </x:c>
      <x:c r="G32" s="83" t="str">
        <x:v>미실시</x:v>
      </x:c>
      <x:c r="H32" s="83" t="str"/>
      <x:c r="I32" s="83" t="str"/>
    </x:row>
    <x:row r="33" ht="42" customHeight="1">
      <x:c r="A33" s="83" t="str">
        <x:v>TR-RD-003</x:v>
      </x:c>
      <x:c r="B33" s="83" t="str">
        <x:v>고객 요구 Traceability</x:v>
      </x:c>
      <x:c r="C33" s="83" t="str">
        <x:v>RD-003</x:v>
      </x:c>
      <x:c r="D33" s="83" t="str">
        <x:v>Cell 별 Recipe 파라미터 입력의 정상·경계·오류·복구 경로가 Sequence/Driver에 연결되고, 설정 재로딩·로그·시험증빙으로 원문 상세 요구를 충족한다.</x:v>
      </x:c>
      <x:c r="E33" s="83" t="str">
        <x:v>코드/회귀→통합→실장비 Witness</x:v>
      </x:c>
      <x:c r="F33" s="83" t="str">
        <x:v>04-02, 08-05</x:v>
      </x:c>
      <x:c r="G33" s="83" t="str">
        <x:v>미실시</x:v>
      </x:c>
      <x:c r="H33" s="83" t="str"/>
      <x:c r="I33" s="83" t="str"/>
    </x:row>
    <x:row r="34" ht="42" customHeight="1">
      <x:c r="A34" s="83" t="str">
        <x:v>TR-RD-004</x:v>
      </x:c>
      <x:c r="B34" s="83" t="str">
        <x:v>고객 요구 Traceability</x:v>
      </x:c>
      <x:c r="C34" s="83" t="str">
        <x:v>RD-004</x:v>
      </x:c>
      <x:c r="D34" s="83" t="str">
        <x:v>Head 별 Recipe 파라미터 입력의 정상·경계·오류·복구 경로가 Sequence/Driver에 연결되고, 설정 재로딩·로그·시험증빙으로 원문 상세 요구를 충족한다.</x:v>
      </x:c>
      <x:c r="E34" s="83" t="str">
        <x:v>코드/회귀→통합→실장비 Witness</x:v>
      </x:c>
      <x:c r="F34" s="83" t="str">
        <x:v>04-02, 09-02</x:v>
      </x:c>
      <x:c r="G34" s="83" t="str">
        <x:v>미실시</x:v>
      </x:c>
      <x:c r="H34" s="83" t="str"/>
      <x:c r="I34" s="83" t="str"/>
    </x:row>
    <x:row r="35" ht="42" customHeight="1">
      <x:c r="A35" s="83" t="str">
        <x:v>TR-RD-005</x:v>
      </x:c>
      <x:c r="B35" s="83" t="str">
        <x:v>고객 요구 Traceability</x:v>
      </x:c>
      <x:c r="C35" s="83" t="str">
        <x:v>RD-005</x:v>
      </x:c>
      <x:c r="D35" s="83" t="str">
        <x:v>기준 위치 Shift 반영의 정상·경계·오류·복구 경로가 Sequence/Driver에 연결되고, 설정 재로딩·로그·시험증빙으로 원문 상세 요구를 충족한다.</x:v>
      </x:c>
      <x:c r="E35" s="83" t="str">
        <x:v>코드/회귀→통합→실장비 Witness</x:v>
      </x:c>
      <x:c r="F35" s="83" t="str">
        <x:v>08-05</x:v>
      </x:c>
      <x:c r="G35" s="83" t="str">
        <x:v>미실시</x:v>
      </x:c>
      <x:c r="H35" s="83" t="str"/>
      <x:c r="I35" s="83" t="str"/>
    </x:row>
    <x:row r="36" ht="42" customHeight="1">
      <x:c r="A36" s="83" t="str">
        <x:v>TR-RD-006</x:v>
      </x:c>
      <x:c r="B36" s="83" t="str">
        <x:v>고객 요구 Traceability</x:v>
      </x:c>
      <x:c r="C36" s="83" t="str">
        <x:v>RD-006</x:v>
      </x:c>
      <x:c r="D36" s="83" t="str">
        <x:v>PPID↔EQ Recipe 매칭 목록을 생성/삭제/저장하고 수동·자동 매칭 및 중복/미등록 오류를 검증한다.</x:v>
      </x:c>
      <x:c r="E36" s="83" t="str">
        <x:v>코드/회귀→통합→실장비 Witness</x:v>
      </x:c>
      <x:c r="F36" s="83" t="str">
        <x:v>04-03</x:v>
      </x:c>
      <x:c r="G36" s="83" t="str">
        <x:v>미실시</x:v>
      </x:c>
      <x:c r="H36" s="83" t="str"/>
      <x:c r="I36" s="83" t="str"/>
    </x:row>
    <x:row r="37" ht="42" customHeight="1">
      <x:c r="A37" s="83" t="str">
        <x:v>TR-RD-007</x:v>
      </x:c>
      <x:c r="B37" s="83" t="str">
        <x:v>고객 요구 Traceability</x:v>
      </x:c>
      <x:c r="C37" s="83" t="str">
        <x:v>RD-007</x:v>
      </x:c>
      <x:c r="D37" s="83" t="str">
        <x:v>모델 별 기준 위치 입력의 정상·경계·오류·복구 경로가 Sequence/Driver에 연결되고, 설정 재로딩·로그·시험증빙으로 원문 상세 요구를 충족한다.</x:v>
      </x:c>
      <x:c r="E37" s="83" t="str">
        <x:v>코드/회귀→통합→실장비 Witness</x:v>
      </x:c>
      <x:c r="F37" s="83" t="str">
        <x:v>07-01, 04-02</x:v>
      </x:c>
      <x:c r="G37" s="83" t="str">
        <x:v>미실시</x:v>
      </x:c>
      <x:c r="H37" s="83" t="str"/>
      <x:c r="I37" s="83" t="str"/>
    </x:row>
    <x:row r="38" ht="42" customHeight="1">
      <x:c r="A38" s="83" t="str">
        <x:v>TR-IC-001</x:v>
      </x:c>
      <x:c r="B38" s="83" t="str">
        <x:v>고객 요구 Traceability</x:v>
      </x:c>
      <x:c r="C38" s="83" t="str">
        <x:v>IC-001</x:v>
      </x:c>
      <x:c r="D38" s="83" t="str">
        <x:v>선택/전체 Cell·Head에 대한 Manual/Auto IOF 및 P-to-P 검사 Sequence가 좌표·측정값·판정과 함께 완료된다.</x:v>
      </x:c>
      <x:c r="E38" s="83" t="str">
        <x:v>코드/회귀→통합→실장비 Witness</x:v>
      </x:c>
      <x:c r="F38" s="83" t="str">
        <x:v>06-05</x:v>
      </x:c>
      <x:c r="G38" s="83" t="str">
        <x:v>미실시</x:v>
      </x:c>
      <x:c r="H38" s="83" t="str"/>
      <x:c r="I38" s="83" t="str"/>
    </x:row>
    <x:row r="39" ht="42" customHeight="1">
      <x:c r="A39" s="83" t="str">
        <x:v>TR-IC-002</x:v>
      </x:c>
      <x:c r="B39" s="83" t="str">
        <x:v>고객 요구 Traceability</x:v>
      </x:c>
      <x:c r="C39" s="83" t="str">
        <x:v>IC-002</x:v>
      </x:c>
      <x:c r="D39" s="83" t="str">
        <x:v>3줄 검사 데이터에 선형 Fine 보정을 계산·저장·재적용하고 재측정 오차가 Tolerance 내임을 입증한다.</x:v>
      </x:c>
      <x:c r="E39" s="83" t="str">
        <x:v>코드/회귀→통합→실장비 Witness</x:v>
      </x:c>
      <x:c r="F39" s="83" t="str">
        <x:v>07-05</x:v>
      </x:c>
      <x:c r="G39" s="83" t="str">
        <x:v>미실시</x:v>
      </x:c>
      <x:c r="H39" s="83" t="str"/>
      <x:c r="I39" s="83" t="str"/>
    </x:row>
    <x:row r="40" ht="42" customHeight="1">
      <x:c r="A40" s="83" t="str">
        <x:v>TR-IC-003</x:v>
      </x:c>
      <x:c r="B40" s="83" t="str">
        <x:v>고객 요구 Traceability</x:v>
      </x:c>
      <x:c r="C40" s="83" t="str">
        <x:v>IC-003</x:v>
      </x:c>
      <x:c r="D40" s="83" t="str">
        <x:v>Head/Cell별 1 Point 자동 이동·측정·일괄 Offset 보정·재측정을 완료하고 적용 전후 결과를 저장한다.</x:v>
      </x:c>
      <x:c r="E40" s="83" t="str">
        <x:v>코드/회귀→통합→실장비 Witness</x:v>
      </x:c>
      <x:c r="F40" s="83" t="str">
        <x:v>07-05</x:v>
      </x:c>
      <x:c r="G40" s="83" t="str">
        <x:v>미실시</x:v>
      </x:c>
      <x:c r="H40" s="83" t="str"/>
      <x:c r="I40" s="83" t="str"/>
    </x:row>
    <x:row r="41" ht="42" customHeight="1">
      <x:c r="A41" s="83" t="str">
        <x:v>TR-IC-004</x:v>
      </x:c>
      <x:c r="B41" s="83" t="str">
        <x:v>고객 요구 Traceability</x:v>
      </x:c>
      <x:c r="C41" s="83" t="str">
        <x:v>IC-004</x:v>
      </x:c>
      <x:c r="D41" s="83" t="str">
        <x:v>Simple 보정의 정상·경계·오류·복구 경로가 Sequence/Driver에 연결되고, 설정 재로딩·로그·시험증빙으로 원문 상세 요구를 충족한다.</x:v>
      </x:c>
      <x:c r="E41" s="83" t="str">
        <x:v>코드/회귀→통합→실장비 Witness</x:v>
      </x:c>
      <x:c r="F41" s="83" t="str">
        <x:v>07-05</x:v>
      </x:c>
      <x:c r="G41" s="83" t="str">
        <x:v>미실시</x:v>
      </x:c>
      <x:c r="H41" s="83" t="str"/>
      <x:c r="I41" s="83" t="str"/>
    </x:row>
    <x:row r="42" ht="42" customHeight="1">
      <x:c r="A42" s="83" t="str">
        <x:v>TR-IC-005</x:v>
      </x:c>
      <x:c r="B42" s="83" t="str">
        <x:v>고객 요구 Traceability</x:v>
      </x:c>
      <x:c r="C42" s="83" t="str">
        <x:v>IC-005</x:v>
      </x:c>
      <x:c r="D42" s="83" t="str">
        <x:v>MOF Offset 테이블 모니터링의 정상·경계·오류·복구 경로가 Sequence/Driver에 연결되고, 설정 재로딩·로그·시험증빙으로 원문 상세 요구를 충족한다.</x:v>
      </x:c>
      <x:c r="E42" s="83" t="str">
        <x:v>코드/회귀→통합→실장비 Witness</x:v>
      </x:c>
      <x:c r="F42" s="83" t="str">
        <x:v>07-07</x:v>
      </x:c>
      <x:c r="G42" s="83" t="str">
        <x:v>미실시</x:v>
      </x:c>
      <x:c r="H42" s="83" t="str"/>
      <x:c r="I42" s="83" t="str"/>
    </x:row>
    <x:row r="43" ht="42" customHeight="1">
      <x:c r="A43" s="83" t="str">
        <x:v>TR-IC-006</x:v>
      </x:c>
      <x:c r="B43" s="83" t="str">
        <x:v>고객 요구 Traceability</x:v>
      </x:c>
      <x:c r="C43" s="83" t="str">
        <x:v>IC-006</x:v>
      </x:c>
      <x:c r="D43" s="83" t="str">
        <x:v>검사 옵션 세팅의 정상·경계·오류·복구 경로가 Sequence/Driver에 연결되고, 설정 재로딩·로그·시험증빙으로 원문 상세 요구를 충족한다.</x:v>
      </x:c>
      <x:c r="E43" s="83" t="str">
        <x:v>코드/회귀→통합→실장비 Witness</x:v>
      </x:c>
      <x:c r="F43" s="83" t="str">
        <x:v>07-04</x:v>
      </x:c>
      <x:c r="G43" s="83" t="str">
        <x:v>미실시</x:v>
      </x:c>
      <x:c r="H43" s="83" t="str"/>
      <x:c r="I43" s="83" t="str"/>
    </x:row>
    <x:row r="44" ht="42" customHeight="1">
      <x:c r="A44" s="83" t="str">
        <x:v>TR-IC-007</x:v>
      </x:c>
      <x:c r="B44" s="83" t="str">
        <x:v>고객 요구 Traceability</x:v>
      </x:c>
      <x:c r="C44" s="83" t="str">
        <x:v>IC-007</x:v>
      </x:c>
      <x:c r="D44" s="83" t="str">
        <x:v>검사 데이터 모니터링의 정상·경계·오류·복구 경로가 Sequence/Driver에 연결되고, 설정 재로딩·로그·시험증빙으로 원문 상세 요구를 충족한다.</x:v>
      </x:c>
      <x:c r="E44" s="83" t="str">
        <x:v>코드/회귀→통합→실장비 Witness</x:v>
      </x:c>
      <x:c r="F44" s="83" t="str">
        <x:v>07-06</x:v>
      </x:c>
      <x:c r="G44" s="83" t="str">
        <x:v>미실시</x:v>
      </x:c>
      <x:c r="H44" s="83" t="str"/>
      <x:c r="I44" s="83" t="str"/>
    </x:row>
    <x:row r="45" ht="42" customHeight="1">
      <x:c r="A45" s="83" t="str">
        <x:v>TR-IC-008</x:v>
      </x:c>
      <x:c r="B45" s="83" t="str">
        <x:v>고객 요구 Traceability</x:v>
      </x:c>
      <x:c r="C45" s="83" t="str">
        <x:v>IC-008</x:v>
      </x:c>
      <x:c r="D45" s="83" t="str">
        <x:v>Tolerance 관리의 정상·경계·오류·복구 경로가 Sequence/Driver에 연결되고, 설정 재로딩·로그·시험증빙으로 원문 상세 요구를 충족한다.</x:v>
      </x:c>
      <x:c r="E45" s="83" t="str">
        <x:v>코드/회귀→통합→실장비 Witness</x:v>
      </x:c>
      <x:c r="F45" s="83" t="str">
        <x:v>07-06</x:v>
      </x:c>
      <x:c r="G45" s="83" t="str">
        <x:v>미실시</x:v>
      </x:c>
      <x:c r="H45" s="83" t="str"/>
      <x:c r="I45" s="83" t="str"/>
    </x:row>
    <x:row r="46" ht="42" customHeight="1">
      <x:c r="A46" s="83" t="str">
        <x:v>TR-IC-009</x:v>
      </x:c>
      <x:c r="B46" s="83" t="str">
        <x:v>고객 요구 Traceability</x:v>
      </x:c>
      <x:c r="C46" s="83" t="str">
        <x:v>IC-009</x:v>
      </x:c>
      <x:c r="D46" s="83" t="str">
        <x:v>리모트 검사 업데이트의 정상·경계·오류·복구 경로가 Sequence/Driver에 연결되고, 설정 재로딩·로그·시험증빙으로 원문 상세 요구를 충족한다.</x:v>
      </x:c>
      <x:c r="E46" s="83" t="str">
        <x:v>코드/회귀→통합→실장비 Witness</x:v>
      </x:c>
      <x:c r="F46" s="83" t="str">
        <x:v>07-06</x:v>
      </x:c>
      <x:c r="G46" s="83" t="str">
        <x:v>미실시</x:v>
      </x:c>
      <x:c r="H46" s="83" t="str"/>
      <x:c r="I46" s="83" t="str"/>
    </x:row>
    <x:row r="47" ht="42" customHeight="1">
      <x:c r="A47" s="83" t="str">
        <x:v>TR-IC-010</x:v>
      </x:c>
      <x:c r="B47" s="83" t="str">
        <x:v>고객 요구 Traceability</x:v>
      </x:c>
      <x:c r="C47" s="83" t="str">
        <x:v>IC-010</x:v>
      </x:c>
      <x:c r="D47" s="83" t="str">
        <x:v>통계 요약 리포트의 정상·경계·오류·복구 경로가 Sequence/Driver에 연결되고, 설정 재로딩·로그·시험증빙으로 원문 상세 요구를 충족한다.</x:v>
      </x:c>
      <x:c r="E47" s="83" t="str">
        <x:v>코드/회귀→통합→실장비 Witness</x:v>
      </x:c>
      <x:c r="F47" s="83" t="str">
        <x:v>07-06</x:v>
      </x:c>
      <x:c r="G47" s="83" t="str">
        <x:v>미실시</x:v>
      </x:c>
      <x:c r="H47" s="83" t="str"/>
      <x:c r="I47" s="83" t="str"/>
    </x:row>
    <x:row r="48" ht="42" customHeight="1">
      <x:c r="A48" s="83" t="str">
        <x:v>TR-IC-011</x:v>
      </x:c>
      <x:c r="B48" s="83" t="str">
        <x:v>고객 요구 Traceability</x:v>
      </x:c>
      <x:c r="C48" s="83" t="str">
        <x:v>IC-011</x:v>
      </x:c>
      <x:c r="D48" s="83" t="str">
        <x:v>MOF 매뉴얼 가공의 정상·경계·오류·복구 경로가 Sequence/Driver에 연결되고, 설정 재로딩·로그·시험증빙으로 원문 상세 요구를 충족한다.</x:v>
      </x:c>
      <x:c r="E48" s="83" t="str">
        <x:v>코드/회귀→통합→실장비 Witness</x:v>
      </x:c>
      <x:c r="F48" s="83" t="str">
        <x:v>06-04</x:v>
      </x:c>
      <x:c r="G48" s="83" t="str">
        <x:v>미실시</x:v>
      </x:c>
      <x:c r="H48" s="83" t="str"/>
      <x:c r="I48" s="83" t="str"/>
    </x:row>
    <x:row r="49" ht="42" customHeight="1">
      <x:c r="A49" s="83" t="str">
        <x:v>TR-SS-001</x:v>
      </x:c>
      <x:c r="B49" s="83" t="str">
        <x:v>고객 요구 Traceability</x:v>
      </x:c>
      <x:c r="C49" s="83" t="str">
        <x:v>SS-001</x:v>
      </x:c>
      <x:c r="D49" s="83" t="str">
        <x:v>Laser 세팅 및 모니터링의 정상·경계·오류·복구 경로가 Sequence/Driver에 연결되고, 설정 재로딩·로그·시험증빙으로 원문 상세 요구를 충족한다.</x:v>
      </x:c>
      <x:c r="E49" s="83" t="str">
        <x:v>코드/회귀→통합→실장비 Witness</x:v>
      </x:c>
      <x:c r="F49" s="83" t="str">
        <x:v>09-01</x:v>
      </x:c>
      <x:c r="G49" s="83" t="str">
        <x:v>미실시</x:v>
      </x:c>
      <x:c r="H49" s="83" t="str"/>
      <x:c r="I49" s="83" t="str"/>
    </x:row>
    <x:row r="50" ht="42" customHeight="1">
      <x:c r="A50" s="83" t="str">
        <x:v>TR-SS-002</x:v>
      </x:c>
      <x:c r="B50" s="83" t="str">
        <x:v>고객 요구 Traceability</x:v>
      </x:c>
      <x:c r="C50" s="83" t="str">
        <x:v>SS-002</x:v>
      </x:c>
      <x:c r="D50" s="83" t="str">
        <x:v>Optic 세팅 및 모니터링의 정상·경계·오류·복구 경로가 Sequence/Driver에 연결되고, 설정 재로딩·로그·시험증빙으로 원문 상세 요구를 충족한다.</x:v>
      </x:c>
      <x:c r="E50" s="83" t="str">
        <x:v>코드/회귀→통합→실장비 Witness</x:v>
      </x:c>
      <x:c r="F50" s="83" t="str">
        <x:v>09-02</x:v>
      </x:c>
      <x:c r="G50" s="83" t="str">
        <x:v>미실시</x:v>
      </x:c>
      <x:c r="H50" s="83" t="str"/>
      <x:c r="I50" s="83" t="str"/>
    </x:row>
    <x:row r="51" ht="42" customHeight="1">
      <x:c r="A51" s="83" t="str">
        <x:v>TR-SS-003</x:v>
      </x:c>
      <x:c r="B51" s="83" t="str">
        <x:v>고객 요구 Traceability</x:v>
      </x:c>
      <x:c r="C51" s="83" t="str">
        <x:v>SS-003</x:v>
      </x:c>
      <x:c r="D51" s="83" t="str">
        <x:v>Scanner 세팅의 정상·경계·오류·복구 경로가 Sequence/Driver에 연결되고, 설정 재로딩·로그·시험증빙으로 원문 상세 요구를 충족한다.</x:v>
      </x:c>
      <x:c r="E51" s="83" t="str">
        <x:v>코드/회귀→통합→실장비 Witness</x:v>
      </x:c>
      <x:c r="F51" s="83" t="str">
        <x:v>08-02, 08-04</x:v>
      </x:c>
      <x:c r="G51" s="83" t="str">
        <x:v>미실시</x:v>
      </x:c>
      <x:c r="H51" s="83" t="str"/>
      <x:c r="I51" s="83" t="str"/>
    </x:row>
    <x:row r="52" ht="42" customHeight="1">
      <x:c r="A52" s="83" t="str">
        <x:v>TR-SS-004</x:v>
      </x:c>
      <x:c r="B52" s="83" t="str">
        <x:v>고객 요구 Traceability</x:v>
      </x:c>
      <x:c r="C52" s="83" t="str">
        <x:v>SS-004</x:v>
      </x:c>
      <x:c r="D52" s="83" t="str">
        <x:v>수동 측정과 목표/Tolerance 기반 ATT 반복 보정이 Interlock/Stage 회피를 포함해 정상 종료·강제 종료·Timeout으로 구분된다.</x:v>
      </x:c>
      <x:c r="E52" s="83" t="str">
        <x:v>코드/회귀→통합→실장비 Witness</x:v>
      </x:c>
      <x:c r="F52" s="83" t="str">
        <x:v>09-04</x:v>
      </x:c>
      <x:c r="G52" s="83" t="str">
        <x:v>미실시</x:v>
      </x:c>
      <x:c r="H52" s="83" t="str"/>
      <x:c r="I52" s="83" t="str"/>
    </x:row>
    <x:row r="53" ht="42" customHeight="1">
      <x:c r="A53" s="83" t="str">
        <x:v>TR-SS-005</x:v>
      </x:c>
      <x:c r="B53" s="83" t="str">
        <x:v>고객 요구 Traceability</x:v>
      </x:c>
      <x:c r="C53" s="83" t="str">
        <x:v>SS-005</x:v>
      </x:c>
      <x:c r="D53" s="83" t="str">
        <x:v>파워 측정 데이터 표시의 정상·경계·오류·복구 경로가 Sequence/Driver에 연결되고, 설정 재로딩·로그·시험증빙으로 원문 상세 요구를 충족한다.</x:v>
      </x:c>
      <x:c r="E53" s="83" t="str">
        <x:v>코드/회귀→통합→실장비 Witness</x:v>
      </x:c>
      <x:c r="F53" s="83" t="str">
        <x:v>09-03</x:v>
      </x:c>
      <x:c r="G53" s="83" t="str">
        <x:v>미실시</x:v>
      </x:c>
      <x:c r="H53" s="83" t="str"/>
      <x:c r="I53" s="83" t="str"/>
    </x:row>
    <x:row r="54" ht="42" customHeight="1">
      <x:c r="A54" s="83" t="str">
        <x:v>TR-SS-006</x:v>
      </x:c>
      <x:c r="B54" s="83" t="str">
        <x:v>고객 요구 Traceability</x:v>
      </x:c>
      <x:c r="C54" s="83" t="str">
        <x:v>SS-006</x:v>
      </x:c>
      <x:c r="D54" s="83" t="str">
        <x:v>Attenuator 제어의 정상·경계·오류·복구 경로가 Sequence/Driver에 연결되고, 설정 재로딩·로그·시험증빙으로 원문 상세 요구를 충족한다.</x:v>
      </x:c>
      <x:c r="E54" s="83" t="str">
        <x:v>코드/회귀→통합→실장비 Witness</x:v>
      </x:c>
      <x:c r="F54" s="83" t="str">
        <x:v>09-02</x:v>
      </x:c>
      <x:c r="G54" s="83" t="str">
        <x:v>미실시</x:v>
      </x:c>
      <x:c r="H54" s="83" t="str"/>
      <x:c r="I54" s="83" t="str"/>
    </x:row>
    <x:row r="55" ht="42" customHeight="1">
      <x:c r="A55" s="83" t="str">
        <x:v>TR-SS-007</x:v>
      </x:c>
      <x:c r="B55" s="83" t="str">
        <x:v>고객 요구 Traceability</x:v>
      </x:c>
      <x:c r="C55" s="83" t="str">
        <x:v>SS-007</x:v>
      </x:c>
      <x:c r="D55" s="83" t="str">
        <x:v>통신 관리의 정상·경계·오류·복구 경로가 Sequence/Driver에 연결되고, 설정 재로딩·로그·시험증빙으로 원문 상세 요구를 충족한다.</x:v>
      </x:c>
      <x:c r="E55" s="83" t="str">
        <x:v>코드/회귀→통합→실장비 Witness</x:v>
      </x:c>
      <x:c r="F55" s="83" t="str">
        <x:v>03-07</x:v>
      </x:c>
      <x:c r="G55" s="83" t="str">
        <x:v>미실시</x:v>
      </x:c>
      <x:c r="H55" s="83" t="str"/>
      <x:c r="I55" s="83" t="str"/>
    </x:row>
    <x:row r="56" ht="42" customHeight="1">
      <x:c r="A56" s="83" t="str">
        <x:v>TR-SS-008</x:v>
      </x:c>
      <x:c r="B56" s="83" t="str">
        <x:v>고객 요구 Traceability</x:v>
      </x:c>
      <x:c r="C56" s="83" t="str">
        <x:v>SS-008</x:v>
      </x:c>
      <x:c r="D56" s="83" t="str">
        <x:v>운영 환경 설정의 정상·경계·오류·복구 경로가 Sequence/Driver에 연결되고, 설정 재로딩·로그·시험증빙으로 원문 상세 요구를 충족한다.</x:v>
      </x:c>
      <x:c r="E56" s="83" t="str">
        <x:v>코드/회귀→통합→실장비 Witness</x:v>
      </x:c>
      <x:c r="F56" s="83" t="str">
        <x:v>01-06, 02-04, 10-04</x:v>
      </x:c>
      <x:c r="G56" s="83" t="str">
        <x:v>미실시</x:v>
      </x:c>
      <x:c r="H56" s="83" t="str"/>
      <x:c r="I56" s="83" t="str"/>
    </x:row>
    <x:row r="57" ht="42" customHeight="1">
      <x:c r="A57" s="83" t="str">
        <x:v>UT-PLC</x:v>
      </x:c>
      <x:c r="B57" s="83" t="str">
        <x:v>단위시험</x:v>
      </x:c>
      <x:c r="C57" s="83" t="str">
        <x:v>03-01</x:v>
      </x:c>
      <x:c r="D57" s="83" t="str">
        <x:v>Melsec Read/Write/Readback/Timeout/Retry 오류주입</x:v>
      </x:c>
      <x:c r="E57" s="83" t="str">
        <x:v>Drilling.Regression + 실 PLC</x:v>
      </x:c>
      <x:c r="F57" s="83" t="str">
        <x:v>03-01</x:v>
      </x:c>
      <x:c r="G57" s="83" t="str">
        <x:v>부분 PASS</x:v>
      </x:c>
      <x:c r="H57" s="83" t="str">
        <x:v>Regression PASS</x:v>
      </x:c>
      <x:c r="I57" s="83" t="str">
        <x:v>실 PLC 필요</x:v>
      </x:c>
    </x:row>
    <x:row r="58" ht="42" customHeight="1">
      <x:c r="A58" s="83" t="str">
        <x:v>UT-FILE</x:v>
      </x:c>
      <x:c r="B58" s="83" t="str">
        <x:v>단위시험</x:v>
      </x:c>
      <x:c r="C58" s="83" t="str">
        <x:v>04-01</x:v>
      </x:c>
      <x:c r="D58" s="83" t="str">
        <x:v>Recipe/Setting round-trip·손상·원자적 복구</x:v>
      </x:c>
      <x:c r="E58" s="83" t="str">
        <x:v>Regression/파일 diff</x:v>
      </x:c>
      <x:c r="F58" s="83" t="str">
        <x:v>04-01,10-04</x:v>
      </x:c>
      <x:c r="G58" s="83" t="str">
        <x:v>부분 PASS</x:v>
      </x:c>
      <x:c r="H58" s="83" t="str">
        <x:v>round-trip PASS</x:v>
      </x:c>
      <x:c r="I58" s="83" t="str">
        <x:v>손상복구 추가</x:v>
      </x:c>
    </x:row>
    <x:row r="59" ht="42" customHeight="1">
      <x:c r="A59" s="83" t="str">
        <x:v>UT-COORD</x:v>
      </x:c>
      <x:c r="B59" s="83" t="str">
        <x:v>단위시험</x:v>
      </x:c>
      <x:c r="C59" s="83" t="str">
        <x:v>08-04</x:v>
      </x:c>
      <x:c r="D59" s="83" t="str">
        <x:v>홀짝 축부호/Cell 경계/Offset/Rotation Golden Set</x:v>
      </x:c>
      <x:c r="E59" s="83" t="str">
        <x:v>좌표 Golden CSV</x:v>
      </x:c>
      <x:c r="F59" s="83" t="str">
        <x:v>07-01~08-05</x:v>
      </x:c>
      <x:c r="G59" s="83" t="str">
        <x:v>부분 PASS</x:v>
      </x:c>
      <x:c r="H59" s="83" t="str">
        <x:v>코드/Golden 일부</x:v>
      </x:c>
      <x:c r="I59" s="83" t="str">
        <x:v>설치값 필요</x:v>
      </x:c>
    </x:row>
    <x:row r="60" ht="42" customHeight="1">
      <x:c r="A60" s="83" t="str">
        <x:v>IT-COMM</x:v>
      </x:c>
      <x:c r="B60" s="83" t="str">
        <x:v>통합시험</x:v>
      </x:c>
      <x:c r="C60" s="83" t="str">
        <x:v>03</x:v>
      </x:c>
      <x:c r="D60" s="83" t="str">
        <x:v>전체 통신 Timeout/재연결/중복명령/Alarm</x:v>
      </x:c>
      <x:c r="E60" s="83" t="str">
        <x:v>장비 Simulator+실물</x:v>
      </x:c>
      <x:c r="F60" s="83" t="str">
        <x:v>11-03</x:v>
      </x:c>
      <x:c r="G60" s="83" t="str">
        <x:v>미실시</x:v>
      </x:c>
      <x:c r="H60" s="83" t="str"/>
      <x:c r="I60" s="83" t="str">
        <x:v>장비 필요</x:v>
      </x:c>
    </x:row>
    <x:row r="61" ht="42" customHeight="1">
      <x:c r="A61" s="83" t="str">
        <x:v>IT-AUTO</x:v>
      </x:c>
      <x:c r="B61" s="83" t="str">
        <x:v>통합시험</x:v>
      </x:c>
      <x:c r="C61" s="83" t="str">
        <x:v>05</x:v>
      </x:c>
      <x:c r="D61" s="83" t="str">
        <x:v>Auto/Step/Pause/Recovery 정상·오류 흐름</x:v>
      </x:c>
      <x:c r="E61" s="83" t="str">
        <x:v>대표 Recipe E2E</x:v>
      </x:c>
      <x:c r="F61" s="83" t="str">
        <x:v>11-04</x:v>
      </x:c>
      <x:c r="G61" s="83" t="str">
        <x:v>미실시</x:v>
      </x:c>
      <x:c r="H61" s="83" t="str"/>
      <x:c r="I61" s="83" t="str">
        <x:v>장비 필요</x:v>
      </x:c>
    </x:row>
    <x:row r="62" ht="42" customHeight="1">
      <x:c r="A62" s="83" t="str">
        <x:v>HW-HEAD1</x:v>
      </x:c>
      <x:c r="B62" s="83" t="str">
        <x:v>실장비시험</x:v>
      </x:c>
      <x:c r="C62" s="83" t="str">
        <x:v>08-08</x:v>
      </x:c>
      <x:c r="D62" s="83" t="str">
        <x:v>단일 Head 좌표·가공·Review·Power</x:v>
      </x:c>
      <x:c r="E62" s="83" t="str">
        <x:v>Glass/Witness coupon</x:v>
      </x:c>
      <x:c r="F62" s="83" t="str">
        <x:v>11-05</x:v>
      </x:c>
      <x:c r="G62" s="83" t="str">
        <x:v>미실시</x:v>
      </x:c>
      <x:c r="H62" s="83" t="str"/>
      <x:c r="I62" s="83" t="str">
        <x:v>장비 필요</x:v>
      </x:c>
    </x:row>
    <x:row r="63" ht="42" customHeight="1">
      <x:c r="A63" s="83" t="str">
        <x:v>HW-HEAD8</x:v>
      </x:c>
      <x:c r="B63" s="83" t="str">
        <x:v>실장비시험</x:v>
      </x:c>
      <x:c r="C63" s="83" t="str">
        <x:v>08-08</x:v>
      </x:c>
      <x:c r="D63" s="83" t="str">
        <x:v>8 Head 동시동기·경계누락·Fault 격리</x:v>
      </x:c>
      <x:c r="E63" s="83" t="str">
        <x:v>8 Head Full Glass</x:v>
      </x:c>
      <x:c r="F63" s="83" t="str">
        <x:v>11-05</x:v>
      </x:c>
      <x:c r="G63" s="83" t="str">
        <x:v>미실시</x:v>
      </x:c>
      <x:c r="H63" s="83" t="str"/>
      <x:c r="I63" s="83" t="str">
        <x:v>장비 필요</x:v>
      </x:c>
    </x:row>
    <x:row r="64" ht="42" customHeight="1">
      <x:c r="A64" s="83" t="str">
        <x:v>HW-LONG</x:v>
      </x:c>
      <x:c r="B64" s="83" t="str">
        <x:v>실장비시험</x:v>
      </x:c>
      <x:c r="C64" s="83" t="str">
        <x:v>11-06</x:v>
      </x:c>
      <x:c r="D64" s="83" t="str">
        <x:v>8/24/72h 연속운전·Drift·Reconnect·Log</x:v>
      </x:c>
      <x:c r="E64" s="83" t="str">
        <x:v>Trend/Alarm/Power report</x:v>
      </x:c>
      <x:c r="F64" s="83" t="str">
        <x:v>11-06</x:v>
      </x:c>
      <x:c r="G64" s="83" t="str">
        <x:v>미실시</x:v>
      </x:c>
      <x:c r="H64" s="83" t="str"/>
      <x:c r="I64" s="83" t="str">
        <x:v>장비 Slot 필요</x:v>
      </x:c>
    </x:row>
    <x:row r="65" ht="42" customHeight="1">
      <x:c r="A65" s="83" t="str">
        <x:v>PERF-01</x:v>
      </x:c>
      <x:c r="B65" s="83" t="str">
        <x:v>성능시험</x:v>
      </x:c>
      <x:c r="C65" s="83" t="str">
        <x:v>11-07</x:v>
      </x:c>
      <x:c r="D65" s="83" t="str">
        <x:v>대표 Recipe Tact/병목/응답시간</x:v>
      </x:c>
      <x:c r="E65" s="83" t="str">
        <x:v>Tact report</x:v>
      </x:c>
      <x:c r="F65" s="83" t="str">
        <x:v>11-07</x:v>
      </x:c>
      <x:c r="G65" s="83" t="str">
        <x:v>미실시</x:v>
      </x:c>
      <x:c r="H65" s="83" t="str"/>
      <x:c r="I65" s="83" t="str">
        <x:v>목표값 필요</x:v>
      </x:c>
    </x:row>
    <x:row r="66" ht="42" customHeight="1">
      <x:c r="A66" s="83" t="str">
        <x:v>ACC-01</x:v>
      </x:c>
      <x:c r="B66" s="83" t="str">
        <x:v>고객 수용</x:v>
      </x:c>
      <x:c r="C66" s="83" t="str">
        <x:v>12-03</x:v>
      </x:c>
      <x:c r="D66" s="83" t="str">
        <x:v>51개 수용기준·FAT/SAT Witness</x:v>
      </x:c>
      <x:c r="E66" s="83" t="str">
        <x:v>Signed Trace Matrix</x:v>
      </x:c>
      <x:c r="F66" s="83" t="str">
        <x:v>12-03</x:v>
      </x:c>
      <x:c r="G66" s="83" t="str">
        <x:v>미실시</x:v>
      </x:c>
      <x:c r="H66" s="83" t="str"/>
      <x:c r="I66" s="83" t="str">
        <x:v>고객 일정 필요</x:v>
      </x:c>
    </x:row>
  </x:sheetData>
  <x:mergeCells>
    <x:mergeCell ref="A1:I1"/>
    <x:mergeCell ref="A2:I2"/>
  </x:mergeCells>
  <x:conditionalFormatting sqref="G6:G66">
    <x:cfRule type="containsText" dxfId="21" priority="1" operator="containsText" text="PASS"/>
    <x:cfRule type="containsText" dxfId="22" priority="2" operator="containsText" text="미실시"/>
  </x:conditionalFormatting>
  <x:dataValidations count="1">
    <x:dataValidation type="list" sqref="G6:G66">
      <x:formula1>"PASS,FAIL,BLOCKED,미실시,진행 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3f153a476c4d9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  <x:selection pane="bottomLeft" activeCell="A6" sqref="A6"/>
    </x:sheetView>
  </x:sheetViews>
  <x:sheetFormatPr defaultRowHeight="15"/>
  <x:cols>
    <x:col min="1" max="1" width="24" hidden="0" customWidth="1"/>
    <x:col min="2" max="2" width="90" hidden="0" customWidth="1"/>
    <x:col min="3" max="3" width="52" hidden="0" customWidth="1"/>
  </x:cols>
  <x:sheetData>
    <x:row r="1" ht="30" customHeight="1">
      <x:c r="A1" s="62" t="str">
        <x:v>07 변경이력·가정·확인 불가사항</x:v>
      </x:c>
      <x:c r="B1" s="63"/>
      <x:c r="C1" s="64"/>
    </x:row>
    <x:row r="2" ht="26" customHeight="1">
      <x:c r="A2" s="67" t="str">
        <x:v>자료 충돌·일정 가정·저장소/빌드/시험 제한을 삭제하거나 덮어쓰지 않고 명시</x:v>
      </x:c>
      <x:c r="B2" s="67"/>
      <x:c r="C2" s="67"/>
    </x:row>
    <x:row r="5" ht="30" customHeight="1">
      <x:c r="A5" s="16" t="str">
        <x:v>구분</x:v>
      </x:c>
      <x:c r="B5" s="16" t="str">
        <x:v>내용</x:v>
      </x:c>
      <x:c r="C5" s="16" t="str">
        <x:v>근거/영향</x:v>
      </x:c>
    </x:row>
    <x:row r="6" ht="42" customHeight="1">
      <x:c r="A6" s="83" t="str">
        <x:v>분석 기준일</x:v>
      </x:c>
      <x:c r="B6" s="83" t="str">
        <x:v>2026-08-17 Asia/Seoul</x:v>
      </x:c>
      <x:c r="C6" s="83" t="str">
        <x:v>Today는 26' 8월 3주(1~7/8~14/15~21/22~말일 규칙)</x:v>
      </x:c>
    </x:row>
    <x:row r="7" ht="42" customHeight="1">
      <x:c r="A7" s="83" t="str">
        <x:v>고객 요구 원문</x:v>
      </x:c>
      <x:c r="B7" s="83" t="str">
        <x:v>51개 전수: AM16/MM9/RD7/IC11/SS8</x:v>
      </x:c>
      <x:c r="C7" s="83" t="str">
        <x:v>문의·확인사항·추가 검토결과를 별도 열로 보존</x:v>
      </x:c>
    </x:row>
    <x:row r="8" ht="42" customHeight="1">
      <x:c r="A8" s="83" t="str">
        <x:v>내부개발 원문</x:v>
      </x:c>
      <x:c r="B8" s="83" t="str">
        <x:v>120개, 번호 1~120 누락/중복 없음</x:v>
      </x:c>
      <x:c r="C8" s="83" t="str">
        <x:v>원문 실측 분류 UI21/통신13/File·Data12/Sequence16/Alarm6/Log7/기능45; 요청서 예상치와 4개 분류가 ±1 상이</x:v>
      </x:c>
    </x:row>
    <x:row r="9" ht="42" customHeight="1">
      <x:c r="A9" s="83" t="str">
        <x:v>보고/코드 분리</x:v>
      </x:c>
      <x:c r="B9" s="83" t="str">
        <x:v>보고 진행률을 수정하지 않고 코드 검증률·상태·차이를 별도 기록</x:v>
      </x:c>
      <x:c r="C9" s="83" t="str">
        <x:v>클래스/UI 존재만으로 완료 판정하지 않음</x:v>
      </x:c>
    </x:row>
    <x:row r="10" ht="42" customHeight="1">
      <x:c r="A10" s="83" t="str">
        <x:v>Git 기준선</x:v>
      </x:c>
      <x:c r="B10" s="83" t="str">
        <x:v>main / 18aee2812adbad6f682bb59ff85180340a91f543</x:v>
      </x:c>
      <x:c r="C10" s="83" t="str">
        <x:v>Commit 2026-08-14T09:35:37+09:00; 최근 이력은 04_Git코드검증에 기록</x:v>
      </x:c>
    </x:row>
    <x:row r="11" ht="42" customHeight="1">
      <x:c r="A11" s="83" t="str">
        <x:v>빌드/회귀</x:v>
      </x:c>
      <x:c r="B11" s="83" t="str">
        <x:v>Release Build 경고0·오류0, Core REGRESSION_PASS, WPF_REGRESSION_PASS</x:v>
      </x:c>
      <x:c r="C11" s="83" t="str">
        <x:v>Mock/Simulation 기반; 실장비·Tact·장시간·고객수용 완료 의미 아님</x:v>
      </x:c>
    </x:row>
    <x:row r="12" ht="42" customHeight="1">
      <x:c r="A12" s="83" t="str">
        <x:v>일정 재설계</x:v>
      </x:c>
      <x:c r="B12" s="83" t="str">
        <x:v>2026-06~12, 28주, 선행조건/장비/고객 Gate 기반으로 재구성</x:v>
      </x:c>
      <x:c r="C12" s="83" t="str">
        <x:v>정확한 과거 착수일이 없는 WBS는 Git Commit·원본 계획·내부현황을 근거로 주차 가정</x:v>
      </x:c>
    </x:row>
    <x:row r="13" ht="42" customHeight="1">
      <x:c r="A13" s="83" t="str">
        <x:v>의존관계 표기</x:v>
      </x:c>
      <x:c r="B13" s="83" t="str">
        <x:v>WBS Registry의 의존 WBS는 SS/입력 Gate(부분 산출물로 병행 착수)로 표기</x:v>
      </x:c>
      <x:c r="C13" s="83" t="str">
        <x:v>엄격한 Finish-to-Start Gate는 05 시트 Milestone 진입/완료조건으로 통제</x:v>
      </x:c>
    </x:row>
    <x:row r="14" ht="42" customHeight="1">
      <x:c r="A14" s="83" t="str">
        <x:v>추가 WBS</x:v>
      </x:c>
      <x:c r="B14" s="83" t="str">
        <x:v>51개 Gap 보완 WBS</x:v>
      </x:c>
      <x:c r="C14" s="83" t="str">
        <x:v>부분/불충분/미반영 51개 모두 최소 1개 Gap WBS 연결</x:v>
      </x:c>
    </x:row>
    <x:row r="15" ht="42" customHeight="1">
      <x:c r="A15" s="83" t="str">
        <x:v>확인 불가/제한</x:v>
      </x:c>
      <x:c r="B15" s="83" t="str">
        <x:v>외부 DLL은 참조 가능해 Build는 성공했으나 실제 Hardware/네트워크/광학 교정은 미수행</x:v>
      </x:c>
      <x:c r="C15" s="83" t="str">
        <x:v>검증 시트의 미실시/BLOCKED로 보수적 관리</x:v>
      </x:c>
    </x:row>
    <x:row r="16" ht="42" customHeight="1">
      <x:c r="A16" s="83" t="str">
        <x:v>원본 Master Plan 양식</x:v>
      </x:c>
      <x:c r="B16" s="83" t="str">
        <x:v>4개 고정열+월/주차+계획/실적 쌍, 검은 배경·청색 Header·녹색 계획·황색 실적·주황 Today</x:v>
      </x:c>
      <x:c r="C16" s="83" t="str">
        <x:v>관리 속성은 보조시트에 분리</x:v>
      </x:c>
    </x:row>
    <x:row r="19" ht="30" customHeight="1">
      <x:c r="A19" s="16" t="str">
        <x:v>기술자료 근거</x:v>
      </x:c>
      <x:c r="B19" s="16" t="str">
        <x:v>확인된 핵심 내용</x:v>
      </x:c>
      <x:c r="C19" s="16" t="str">
        <x:v>Master Plan 반영</x:v>
      </x:c>
    </x:row>
    <x:row r="20" ht="42" customHeight="1">
      <x:c r="A20" s="83" t="str">
        <x:v>스캐너 축 방향</x:v>
      </x:c>
      <x:c r="B20" s="83" t="str">
        <x:v>홀수 +Gx=-Xp,+Gy=+Yp / 짝수 +Gx=+Xp,+Gy=-Yp</x:v>
      </x:c>
      <x:c r="C20" s="83" t="str">
        <x:v>08-03</x:v>
      </x:c>
    </x:row>
    <x:row r="21" ht="42" customHeight="1">
      <x:c r="A21" s="83" t="str">
        <x:v>Default Offset</x:v>
      </x:c>
      <x:c r="B21" s="83" t="str">
        <x:v>Scanner별 Offset으로 Gap 동일화 후 8 Scanner를 하나처럼 공통 X/Y Shift</x:v>
      </x:c>
      <x:c r="C21" s="83" t="str">
        <x:v>08-02</x:v>
      </x:c>
    </x:row>
    <x:row r="22" ht="42" customHeight="1">
      <x:c r="A22" s="83" t="str">
        <x:v>좌표 생성</x:v>
      </x:c>
      <x:c r="B22" s="83" t="str">
        <x:v>Cell Align Key 기준 Cell 좌표·Head 분배·가공/Review 기준점</x:v>
      </x:c>
      <x:c r="C22" s="83" t="str">
        <x:v>07-01,08-01</x:v>
      </x:c>
    </x:row>
    <x:row r="23" ht="42" customHeight="1">
      <x:c r="A23" s="83" t="str">
        <x:v>네트워크</x:v>
      </x:c>
      <x:c r="B23" s="83" t="str">
        <x:v>Process PC·Server PC·GL4·XC2·Laser·ATT·Power Meter 분산 연결</x:v>
      </x:c>
      <x:c r="C23" s="83" t="str">
        <x:v>01-03,03</x:v>
      </x:c>
    </x:row>
    <x:row r="24" ht="42" customHeight="1">
      <x:c r="A24" s="83" t="str">
        <x:v>광학 Component</x:v>
      </x:c>
      <x:c r="B24" s="83" t="str">
        <x:v>Talon 355 15W, AGV-20HPO, GL4, VA-CB-355-CONEX, PM150-19C, XPS-D8, XC2-10</x:v>
      </x:c>
      <x:c r="C24" s="83" t="str">
        <x:v>01-04,09</x:v>
      </x:c>
    </x:row>
    <x:row r="25" ht="42" customHeight="1">
      <x:c r="A25" s="83" t="str">
        <x:v>Sequence 자료</x:v>
      </x:c>
      <x:c r="B25" s="83" t="str">
        <x:v>Power 측정/보정, Manual IOF/P-to-P, 보호윈도우/APC, Process–Stage–Vision MOF</x:v>
      </x:c>
      <x:c r="C25" s="83" t="str">
        <x:v>05~09</x:v>
      </x:c>
    </x:row>
    <x:row r="26" ht="42" customHeight="1">
      <x:c r="A26" s="83" t="str">
        <x:v>DOE/Review</x:v>
      </x:c>
      <x:c r="B26" s="83" t="str">
        <x:v>DOE 16 Branch와 Review 기준 Branch 정의 필요</x:v>
      </x:c>
      <x:c r="C26" s="83" t="str">
        <x:v>07-04,리스크 R-06</x:v>
      </x:c>
    </x:row>
    <x:row r="29" ht="30" customHeight="1">
      <x:c r="A29" s="16" t="str">
        <x:v>고객 비기능/인수 보조자료</x:v>
      </x:c>
      <x:c r="B29" s="16" t="str">
        <x:v>원문</x:v>
      </x:c>
      <x:c r="C29" s="16" t="str">
        <x:v>반영</x:v>
      </x:c>
    </x:row>
    <x:row r="30" ht="42" customHeight="1">
      <x:c r="A30" s="83" t="str">
        <x:v>비기능</x:v>
      </x:c>
      <x:c r="B30" s="83" t="str">
        <x:v>5. 비기능 요구사항 (Non-Functional Requirements)</x:v>
      </x:c>
      <x:c r="C30" s="83" t="str">
        <x:v>WBS 01-06 / Module 11 / Module 12</x:v>
      </x:c>
    </x:row>
    <x:row r="31" ht="42" customHeight="1">
      <x:c r="A31" s="83" t="str">
        <x:v>비기능</x:v>
      </x:c>
      <x:c r="B31" s="83" t="str">
        <x:v>- 정밀도: Align 및 가공 위치 정밀도는 설비 사양서 (Mech Spec) 를 준수해야 함.</x:v>
      </x:c>
      <x:c r="C31" s="83" t="str">
        <x:v>WBS 01-06 / Module 11 / Module 12</x:v>
      </x:c>
    </x:row>
    <x:row r="32" ht="42" customHeight="1">
      <x:c r="A32" s="83" t="str">
        <x:v>비기능</x:v>
      </x:c>
      <x:c r="B32" s="83" t="str">
        <x:v>- 안정성: 24 시간 연속 운전 시 메모리 누수 없이 안정적이어야 하며, 비정상 종료 시 복구 로직이 포함되어야 함.</x:v>
      </x:c>
      <x:c r="C32" s="83" t="str">
        <x:v>WBS 01-06 / Module 11 / Module 12</x:v>
      </x:c>
    </x:row>
    <x:row r="33" ht="42" customHeight="1">
      <x:c r="A33" s="83" t="str">
        <x:v>비기능</x:v>
      </x:c>
      <x:c r="B33" s="83" t="str">
        <x:v>- 사용자 편의성: 복잡한 보정 로직 (Fine/Rough/Simple) 은 운영자가 직관적으로 이해할 수 있는 UI와 가이드 (Flow Chart 기반) 를 제공해야 함.</x:v>
      </x:c>
      <x:c r="C33" s="83" t="str">
        <x:v>WBS 01-06 / Module 11 / Module 12</x:v>
      </x:c>
    </x:row>
    <x:row r="34" ht="42" customHeight="1">
      <x:c r="A34" s="83" t="str">
        <x:v>비기능</x:v>
      </x:c>
      <x:c r="B34" s="83" t="str">
        <x:v>- 데이터 무결성: Recipe 변경 이력, 가공 로그, 검사 데이터는 손실 없이 저장 및 관리되어야 함.</x:v>
      </x:c>
      <x:c r="C34" s="83" t="str">
        <x:v>WBS 01-06 / Module 11 / Module 12</x:v>
      </x:c>
    </x:row>
    <x:row r="35" ht="42" customHeight="1">
      <x:c r="A35" s="83" t="str">
        <x:v>납품/인수</x:v>
      </x:c>
      <x:c r="B35" s="83" t="str">
        <x:v>6. 납품물 및 검수 기준</x:v>
      </x:c>
      <x:c r="C35" s="83" t="str">
        <x:v>Module 12</x:v>
      </x:c>
    </x:row>
    <x:row r="36" ht="42" customHeight="1">
      <x:c r="A36" s="83" t="str">
        <x:v>납품/인수</x:v>
      </x:c>
      <x:c r="B36" s="83" t="str">
        <x:v>1. 소스 코드 및 실행 파일: 전체 모듈 포함</x:v>
      </x:c>
      <x:c r="C36" s="83" t="str">
        <x:v>Module 12</x:v>
      </x:c>
    </x:row>
    <x:row r="37" ht="42" customHeight="1">
      <x:c r="A37" s="83" t="str">
        <x:v>납품/인수</x:v>
      </x:c>
      <x:c r="B37" s="83" t="str">
        <x:v>2. 납품물: 설계 문서, 사용자 매뉴얼, 통신 규격서격 (ICD), 테스트 보고서</x:v>
      </x:c>
      <x:c r="C37" s="83" t="str">
        <x:v>Module 12</x:v>
      </x:c>
    </x:row>
    <x:row r="38" ht="42" customHeight="1">
      <x:c r="A38" s="83" t="str">
        <x:v>납품/인수</x:v>
      </x:c>
      <x:c r="B38" s="83" t="str">
        <x:v>3. 검수 시나리오:</x:v>
      </x:c>
      <x:c r="C38" s="83" t="str">
        <x:v>Module 12</x:v>
      </x:c>
    </x:row>
    <x:row r="39" ht="42" customHeight="1">
      <x:c r="A39" s="83" t="str">
        <x:v>납품/인수</x:v>
      </x:c>
      <x:c r="B39" s="83" t="str">
        <x:v>- 자동 가공 사이클 정상 수행 확인</x:v>
      </x:c>
      <x:c r="C39" s="83" t="str">
        <x:v>Module 12</x:v>
      </x:c>
    </x:row>
    <x:row r="40" ht="42" customHeight="1">
      <x:c r="A40" s="83" t="str">
        <x:v>납품/인수</x:v>
      </x:c>
      <x:c r="B40" s="83" t="str">
        <x:v>- 각 보정 모드 (Fine, Rough, Simple) 에 따른 정밀도 향상 검증</x:v>
      </x:c>
      <x:c r="C40" s="83" t="str">
        <x:v>Module 12</x:v>
      </x:c>
    </x:row>
    <x:row r="41" ht="42" customHeight="1">
      <x:c r="A41" s="83" t="str">
        <x:v>납품/인수</x:v>
      </x:c>
      <x:c r="B41" s="83" t="str">
        <x:v>- 인터락 발생 시 안전 정지 및 복구 테스트</x:v>
      </x:c>
      <x:c r="C41" s="83" t="str">
        <x:v>Module 12</x:v>
      </x:c>
    </x:row>
    <x:row r="42" ht="42" customHeight="1">
      <x:c r="A42" s="83" t="str">
        <x:v>납품/인수</x:v>
      </x:c>
      <x:c r="B42" s="83" t="str">
        <x:v>- Recipe 변경 시 실제 가공 파라미터 적용 확인</x:v>
      </x:c>
      <x:c r="C42" s="83" t="str">
        <x:v>Module 12</x:v>
      </x:c>
    </x:row>
    <x:row r="43" ht="42" customHeight="1">
      <x:c r="A43" s="83" t="str">
        <x:v>납품/인수</x:v>
      </x:c>
      <x:c r="B43" s="83" t="str">
        <x:v>- TEG 및 MOF 가공 기능 정상 동작 확인</x:v>
      </x:c>
      <x:c r="C43" s="83" t="str">
        <x:v>Module 12</x:v>
      </x:c>
    </x:row>
    <x:row r="44" ht="42" customHeight="1">
      <x:c r="A44" s="83" t="str">
        <x:v>납품/인수</x:v>
      </x:c>
      <x:c r="B44" s="83" t="str">
        <x:v>- 상호 협의한 체크 시트를 기반으로 기능 검증</x:v>
      </x:c>
      <x:c r="C44" s="83" t="str">
        <x:v>Module 12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04e83c62714c4a60"/>
  </x:tableParts>
</x:worksheet>
</file>